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I:\Universitaire Opleidingen\Opleidingen\FAR\toelating\"/>
    </mc:Choice>
  </mc:AlternateContent>
  <xr:revisionPtr revIDLastSave="0" documentId="13_ncr:1_{977BE0F7-CEC5-4A3D-B63E-41AE244DC4C9}" xr6:coauthVersionLast="47" xr6:coauthVersionMax="47" xr10:uidLastSave="{00000000-0000-0000-0000-000000000000}"/>
  <bookViews>
    <workbookView xWindow="28680" yWindow="-345" windowWidth="29040" windowHeight="17520" xr2:uid="{00000000-000D-0000-FFFF-FFFF00000000}"/>
  </bookViews>
  <sheets>
    <sheet name="2026 LUMC Farmacie" sheetId="1" r:id="rId1"/>
    <sheet name="toegevoegde variabelen (uitleg)" sheetId="2" r:id="rId2"/>
  </sheets>
  <definedNames>
    <definedName name="_xlnm._FilterDatabase" localSheetId="0" hidden="1">'2026 LUMC Farmacie'!$A$1:$CR$8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M3" i="1" l="1" a="1"/>
  <c r="CM3" i="1" s="1"/>
  <c r="CN3" i="1" a="1"/>
  <c r="CN3" i="1" s="1"/>
  <c r="CN4" i="1" l="1" a="1"/>
  <c r="CN4" i="1" s="1"/>
  <c r="CN5" i="1" s="1" a="1"/>
  <c r="CN5" i="1" s="1"/>
  <c r="CN6" i="1" s="1" a="1"/>
  <c r="CN6" i="1" s="1"/>
  <c r="CN7" i="1" s="1" a="1"/>
  <c r="CN7" i="1" s="1"/>
  <c r="CN8" i="1" s="1" a="1"/>
  <c r="CN8" i="1" s="1"/>
  <c r="CM4" i="1" a="1"/>
  <c r="CM4" i="1" s="1"/>
  <c r="CM5" i="1" s="1" a="1"/>
  <c r="CM5" i="1" s="1"/>
  <c r="CM6" i="1" s="1" a="1"/>
  <c r="CM6" i="1" s="1"/>
  <c r="CM7" i="1" s="1" a="1"/>
  <c r="CM7" i="1" s="1"/>
  <c r="CM8" i="1" s="1" a="1"/>
  <c r="CM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<sst xmlns="http://schemas.openxmlformats.org/spreadsheetml/2006/main" count="411" uniqueCount="243">
  <si>
    <t>Bedrijf</t>
  </si>
  <si>
    <t>ProcesSet</t>
  </si>
  <si>
    <t>Proces</t>
  </si>
  <si>
    <t>Gebruikersnaam</t>
  </si>
  <si>
    <t>Email</t>
  </si>
  <si>
    <t>Achternaam</t>
  </si>
  <si>
    <t>Tussenvoegsel</t>
  </si>
  <si>
    <t>Voornaam</t>
  </si>
  <si>
    <t>Studentnummer</t>
  </si>
  <si>
    <t>Afnametaal</t>
  </si>
  <si>
    <t>Processtartdatum</t>
  </si>
  <si>
    <t>Procesvoltooid</t>
  </si>
  <si>
    <t>Procesvoltooiddatum</t>
  </si>
  <si>
    <t>ProcessToestemmingAnoniemOnderzoek</t>
  </si>
  <si>
    <t>StudentIdProctorId</t>
  </si>
  <si>
    <t>ProctorIdaanmaakdatum</t>
  </si>
  <si>
    <t>Geplandestartvoorproctoring</t>
  </si>
  <si>
    <t>Proctoringstarttijd</t>
  </si>
  <si>
    <t>Proctoringeindtijd</t>
  </si>
  <si>
    <t>ProctorReview</t>
  </si>
  <si>
    <t>Proctoringvoortgangsstatus</t>
  </si>
  <si>
    <t>Beoordelingsresultaat</t>
  </si>
  <si>
    <t>Opmerkingenbijbeoordeling</t>
  </si>
  <si>
    <t>Competentietest</t>
  </si>
  <si>
    <t>Competentietest_Teststartdatum</t>
  </si>
  <si>
    <t>Competentietest_Testvoltooiddatum</t>
  </si>
  <si>
    <t>Competentietest_Testvoltooid</t>
  </si>
  <si>
    <t>ct_problemenaanpakken_Schaalscore</t>
  </si>
  <si>
    <t>ct_problemenaanpakken_Normscore</t>
  </si>
  <si>
    <t>ct_problemenvermijden_Schaalscore</t>
  </si>
  <si>
    <t>ct_problemenvermijden_Normscore</t>
  </si>
  <si>
    <t>ct_steunzoeken_Schaalscore</t>
  </si>
  <si>
    <t>ct_steunzoeken_Normscore</t>
  </si>
  <si>
    <t>ctb_doorzettingsvermogen_Schaalscore</t>
  </si>
  <si>
    <t>ctb_doorzettingsvermogen_Normscore</t>
  </si>
  <si>
    <t>ctb_initiatiefnemen_Schaalscore</t>
  </si>
  <si>
    <t>ctb_initiatiefnemen_Normscore</t>
  </si>
  <si>
    <t>ctb_reflecteren_Schaalscore</t>
  </si>
  <si>
    <t>ctb_reflecteren_Normscore</t>
  </si>
  <si>
    <t>ctb_schriftelijkcommuniceren_Schaalscore</t>
  </si>
  <si>
    <t>ctb_schriftelijkcommuniceren_Normscore</t>
  </si>
  <si>
    <t>ctb_stressbestendigheid_Schaalscore</t>
  </si>
  <si>
    <t>ctb_stressbestendigheid_Normscore</t>
  </si>
  <si>
    <t>LUMCFarmacieOpenVraag</t>
  </si>
  <si>
    <t>LUMCFarmacieOpenVraag_Teststartdatum</t>
  </si>
  <si>
    <t>LUMCFarmacieOpenVraag_Testvoltooiddatum</t>
  </si>
  <si>
    <t>LUMCFarmacieOpenVraag_Testvoltooid</t>
  </si>
  <si>
    <r>
      <t xml:space="preserve">LUMC_Farmacie_OpenVraag001_Noem3vaardighedendiejealkunten3ontwik
</t>
    </r>
    <r>
      <rPr>
        <sz val="11"/>
        <color theme="1"/>
        <rFont val="Calibri"/>
        <family val="2"/>
        <scheme val="minor"/>
      </rPr>
      <t>Noem 3 vaardigheden (die je al kunt) en 3 ontwikkelpunten die relevant zouden kunnen zijn tijdens een coschap (=stage) in de apotheek.
Beschrijf in ongeveer 200 woorden van 1 vaardigheid en 1 ontwikkelpunt waarom je denkt dat deze relevant zijn tijdens een coschap en hoe je tot deze punten gekomen bent.</t>
    </r>
  </si>
  <si>
    <t>Aantalwoordenongeveer</t>
  </si>
  <si>
    <t>Beoordeling reflectievermogen</t>
  </si>
  <si>
    <t>Beoordeling schriftelijke communicatie</t>
  </si>
  <si>
    <t>Toelichting bij Onder niveau Reflectievaardigheden</t>
  </si>
  <si>
    <t>Beoordeling_reflectievermogen
onder/op/boven niveau = 1/2/3</t>
  </si>
  <si>
    <t>Beoordeling_schriftelijkecommunicatie
onder/op/boven niveau = 1/2/3</t>
  </si>
  <si>
    <t>SociaalInzichttestStudiesituatiesSITS</t>
  </si>
  <si>
    <t>SociaalInzichttestStudiesituatiesSITS_Teststartdatum</t>
  </si>
  <si>
    <t>SociaalInzichttestStudiesituatiesSITS_Testvoltooiddatum</t>
  </si>
  <si>
    <t>SociaalInzichttestStudiesituatiesSITS_Testvoltooid</t>
  </si>
  <si>
    <t>SociaalInzichttestStudiesituatiesSITS_Normgroep</t>
  </si>
  <si>
    <t>sjts_totaal_Schaalscore</t>
  </si>
  <si>
    <t>sjts_totaal_Normscore</t>
  </si>
  <si>
    <t>WetenschappelijkeCasusVrijeWil</t>
  </si>
  <si>
    <t>WetenschappelijkeCasusVrijeWil_Teststartdatum</t>
  </si>
  <si>
    <t>WetenschappelijkeCasusVrijeWil_Testvoltooiddatum</t>
  </si>
  <si>
    <t>WetenschappelijkeCasusVrijeWil_Testvoltooid</t>
  </si>
  <si>
    <t>WetenschappelijkeCasusVrijeWil_Normgroep</t>
  </si>
  <si>
    <t>wetenschappelijkecasusvrijewil_Aantal_goed</t>
  </si>
  <si>
    <t>wetenschappelijkecasusvrijewil_Aantal_fout</t>
  </si>
  <si>
    <t>wetenschappelijkecasusvrijewil_Aantal_beantwoord</t>
  </si>
  <si>
    <t>wetenschappelijkecasusvrijewil_Schaalscore</t>
  </si>
  <si>
    <t>wetenschappelijkecasusvrijewil_Normscore</t>
  </si>
  <si>
    <t>Zctb_reflecteren_Schaalscore</t>
  </si>
  <si>
    <t>ZBeoordeling_reflectievermogen</t>
  </si>
  <si>
    <t>Zctb_schriftelijkcommuniceren_Schaalscore</t>
  </si>
  <si>
    <t>ZBeoordeling_schriftelijkecommunicatie</t>
  </si>
  <si>
    <t>Zctb_stressbestendigheid_Schaalscore</t>
  </si>
  <si>
    <t>Zct_problemenaanpakken_Schaalscore</t>
  </si>
  <si>
    <t>Zct_steunzoeken_Schaalscore</t>
  </si>
  <si>
    <t>Zct_problemenvermijden_Schaalscore</t>
  </si>
  <si>
    <t>Zct_problemenvermijden_Schaalscore_R</t>
  </si>
  <si>
    <t>Zctb_initiatiefnemen_Schaalscore</t>
  </si>
  <si>
    <t>Zctb_doorzettingsvermogen_Schaalscore</t>
  </si>
  <si>
    <t>Zwetenschappelijkecasusvrijewil_Aantal_goed</t>
  </si>
  <si>
    <t>Reflectie_GEM</t>
  </si>
  <si>
    <t>Communicatie_GEM</t>
  </si>
  <si>
    <t>Zsjts_totaal_Schaalscore</t>
  </si>
  <si>
    <t>Stressbestendigheid_GEM</t>
  </si>
  <si>
    <t>Zelfstandigheid_GEM</t>
  </si>
  <si>
    <t>TOTAALSCORE</t>
  </si>
  <si>
    <t>ZTOTAALSCORE</t>
  </si>
  <si>
    <t>Rangordenummer_TOTAALSCORE</t>
  </si>
  <si>
    <t>Rangordenummer_ZTOTAALSCORE</t>
  </si>
  <si>
    <t>TOTAALSCORE (niet afgerond)</t>
  </si>
  <si>
    <t>ZTOTAALSCORE (niet afgerond)</t>
  </si>
  <si>
    <t>LUMC - Farmacie</t>
  </si>
  <si>
    <t>LUMC - Master Farmacie</t>
  </si>
  <si>
    <t>Nederlands</t>
  </si>
  <si>
    <t>17-04-2026 13:05</t>
  </si>
  <si>
    <t>Voltooid</t>
  </si>
  <si>
    <t>17-04-2026 15:28</t>
  </si>
  <si>
    <t>17-04-2026 14:32</t>
  </si>
  <si>
    <t>17-04-2026 14:36</t>
  </si>
  <si>
    <t>LUMC Farmacie - Open Vraag</t>
  </si>
  <si>
    <t>17-04-2026 14:37</t>
  </si>
  <si>
    <t>boven niveau</t>
  </si>
  <si>
    <t>op niveau</t>
  </si>
  <si>
    <t>Sociaal Inzichttest - Studiesituaties (SIT-S) - tijdslimiet - regulier</t>
  </si>
  <si>
    <t>17-04-2026 14:02</t>
  </si>
  <si>
    <t>kandidaten voor hbo/wo-instroom</t>
  </si>
  <si>
    <t>Wetenschappelijke Casus - Vrije Wil</t>
  </si>
  <si>
    <t>17-04-2026 13:09</t>
  </si>
  <si>
    <t>17-04-2026 14:01</t>
  </si>
  <si>
    <t>*WetC_VW_WO</t>
  </si>
  <si>
    <t>17-04-2026 15:12</t>
  </si>
  <si>
    <t>17-04-2026 14:26</t>
  </si>
  <si>
    <t>17-04-2026 14:30</t>
  </si>
  <si>
    <t>17-04-2026 14:31</t>
  </si>
  <si>
    <t>17-04-2026 14:25</t>
  </si>
  <si>
    <t>17-04-2026 13:08</t>
  </si>
  <si>
    <t>17-04-2026 14:00</t>
  </si>
  <si>
    <t>17-04-2026 14:45</t>
  </si>
  <si>
    <t>17-04-2026 14:04</t>
  </si>
  <si>
    <t>17-04-2026 14:35</t>
  </si>
  <si>
    <t>17-04-2026 14:27</t>
  </si>
  <si>
    <t>17-04-2026 13:07</t>
  </si>
  <si>
    <t>17-04-2026 14:52</t>
  </si>
  <si>
    <t>17-04-2026 13:59</t>
  </si>
  <si>
    <t>17-04-2026 13:06</t>
  </si>
  <si>
    <t>17-04-2026 14:28</t>
  </si>
  <si>
    <t>17-04-2026 14:44</t>
  </si>
  <si>
    <t>17-04-2026 14:51</t>
  </si>
  <si>
    <t>17-04-2026 14:29</t>
  </si>
  <si>
    <t>17-04-2026 13:04</t>
  </si>
  <si>
    <t>17-04-2026 15:08</t>
  </si>
  <si>
    <t>17-04-2026 14:57</t>
  </si>
  <si>
    <t>17-04-2026 15:00</t>
  </si>
  <si>
    <t>17-04-2026 14:34</t>
  </si>
  <si>
    <t>17-04-2026 14:33</t>
  </si>
  <si>
    <t>17-04-2026 14:03</t>
  </si>
  <si>
    <t>17-04-2026 15:30</t>
  </si>
  <si>
    <t>17-04-2026 14:10</t>
  </si>
  <si>
    <t>17-04-2026 14:09</t>
  </si>
  <si>
    <t>LUMC - Farmacie - Extra Tijd</t>
  </si>
  <si>
    <t>Sociaal Inzichttest - Studiesituaties (SIT-S) - tijdslimiet - extra tijd</t>
  </si>
  <si>
    <t>Wetenschappelijke Casus - Vrije Wil - Extra tijd</t>
  </si>
  <si>
    <t>17-04-2026 15:40</t>
  </si>
  <si>
    <t>17-04-2026 15:20</t>
  </si>
  <si>
    <t>17-04-2026 15:33</t>
  </si>
  <si>
    <t>onder niveau</t>
  </si>
  <si>
    <t>Variabele</t>
  </si>
  <si>
    <t>Omschrijving</t>
  </si>
  <si>
    <t>Kolom</t>
  </si>
  <si>
    <t>Genormeerde (z-)score gebaseerd op 'Reflecteren' gemeten in competentietest (CT)</t>
  </si>
  <si>
    <t>BT</t>
  </si>
  <si>
    <t>Genormeerde (z-)score gebaseerd op reflectievermogen beoordeeld o.b.v. open vraag</t>
  </si>
  <si>
    <t>BU</t>
  </si>
  <si>
    <t>Genormeerde (z-)score gebaseerd op 'Schriftelijk communiceren' gemeten in competentietest (CT)</t>
  </si>
  <si>
    <t>BV</t>
  </si>
  <si>
    <t>Genormeerde (z-)score gebaseerd op schriftelijke communicatie beoordeeld o.b.v. open vraag</t>
  </si>
  <si>
    <t>BW</t>
  </si>
  <si>
    <t>Genormeerde (z-)score gebaseerd op 'Stressbestendigheid' gemeten in competentietest (CT)</t>
  </si>
  <si>
    <t>BX</t>
  </si>
  <si>
    <t>Genormeerde (z-)score gebaseerd op 'Problemen aanpakken' gemeten in competentietest (CT)</t>
  </si>
  <si>
    <t>BY</t>
  </si>
  <si>
    <t>(Zct_steunzoeken_Schaalscore)</t>
  </si>
  <si>
    <t>Genormeerde (z-)score gebaseerd op 'Steun zoeken' gemeten in competentietest (CT)</t>
  </si>
  <si>
    <t>BZ</t>
  </si>
  <si>
    <t>Genormeerde (z-)score gebaseerd op 'Problemen vermijden' gemeten in competentietest (CT)</t>
  </si>
  <si>
    <t>CA</t>
  </si>
  <si>
    <r>
      <t xml:space="preserve">Genormeerde (z-)score gebaseerd op 'Problemen vermijden' gemeten in competentietest (CT) - </t>
    </r>
    <r>
      <rPr>
        <u/>
        <sz val="11"/>
        <color theme="1"/>
        <rFont val="Calibri"/>
        <family val="2"/>
        <scheme val="minor"/>
      </rPr>
      <t>omgekeerd/gespiegeld</t>
    </r>
    <r>
      <rPr>
        <sz val="11"/>
        <color theme="1"/>
        <rFont val="Calibri"/>
        <family val="2"/>
        <scheme val="minor"/>
      </rPr>
      <t xml:space="preserve"> (laag-&gt;hoog; hoog-&gt;laag) zodat lage i.p.v. hoge score bijdraagt aan een hogere stressbestendigheid</t>
    </r>
  </si>
  <si>
    <t>CB</t>
  </si>
  <si>
    <t>Genormeerde (z-)score gebaseerd op 'Initiatief nemen' gemeten in competentietest (CT)</t>
  </si>
  <si>
    <t>CC</t>
  </si>
  <si>
    <t>Genormeerde (z-)score gebaseerd op 'Doorzettingsvermogen' gemeten in competentietest (CT)</t>
  </si>
  <si>
    <t>CD</t>
  </si>
  <si>
    <t>Meet:</t>
  </si>
  <si>
    <t>Logisch redeneren</t>
  </si>
  <si>
    <t>Genormeerde (z-)score gebaseerd op aantal goede antwoorden op de wetenschappelijke casus 'Vrije wil'</t>
  </si>
  <si>
    <t>CE</t>
  </si>
  <si>
    <t>Reflectievaardigheden</t>
  </si>
  <si>
    <t>Gemiddelde van de z-scores gebaseerd op 'Reflecteren'(CT) en reflectievermogen (open vraag)</t>
  </si>
  <si>
    <t>CF</t>
  </si>
  <si>
    <t>Communicatieve vaardigheden</t>
  </si>
  <si>
    <t>Gemiddelde van de z-scores gebaseerd op 'Schriftelijk communiceren' (CT) en schriftelijke communicatie (open vraag)</t>
  </si>
  <si>
    <t>CG</t>
  </si>
  <si>
    <t>Sociale vaardigheden</t>
  </si>
  <si>
    <t>Genormeerde (z-)score gebaseerd op de totaalscore op de Sociaal Inzicht Test Studiesituaties (SIT-S)</t>
  </si>
  <si>
    <t>CH</t>
  </si>
  <si>
    <t>Stressbestendigheid</t>
  </si>
  <si>
    <t>Gemiddelde van de z-scores gebaseerd op 'Stressbestendigheid', 'Problemen aanpakken', 'Steun zoeken' en 'Problemen vermijden_R' (CT)</t>
  </si>
  <si>
    <t>CI</t>
  </si>
  <si>
    <t>Zelfstandigheid</t>
  </si>
  <si>
    <t>Gemiddelde van de z-scores gebaseerd op 'Initiatief nemen' en 'Doorzettingsvermogen' (CT)</t>
  </si>
  <si>
    <t>CJ</t>
  </si>
  <si>
    <t>Totale selectie score (afgerond op 2 decimalen)</t>
  </si>
  <si>
    <t>Gewogen optelsom: .16*Logisch redeneren +.20*Reflectievaardigheden + .16 Communicatieve vaardigheden +.16 Sociale vaardigheden + .16* Stressbestendigheid + .16*Zelfstandigheid</t>
  </si>
  <si>
    <t>CK</t>
  </si>
  <si>
    <r>
      <t>Genormeerde (z-)score gebaseerd op de TOTAALSCORE</t>
    </r>
    <r>
      <rPr>
        <sz val="11"/>
        <color rgb="FFFF0000"/>
        <rFont val="Calibri"/>
        <family val="2"/>
        <scheme val="minor"/>
      </rPr>
      <t xml:space="preserve"> (minimaal effect op rangorde - trekt scores iets meer uit elkaar-&gt;meer onderscheid in miniem verschillende scores)</t>
    </r>
  </si>
  <si>
    <t>CL</t>
  </si>
  <si>
    <t>Rangordenummer</t>
  </si>
  <si>
    <t>Op basis van de Totaalscore, gerangordend van hoog tot laag, is een rangordenummer toegekend. Het laagste rangordenummer aan degene met de hoogste totaalscore. Personen met een gelijke totaalscore, hebben een gelijk rangordenummer.</t>
  </si>
  <si>
    <t>CN</t>
  </si>
  <si>
    <t>CO</t>
  </si>
  <si>
    <t>CP</t>
  </si>
  <si>
    <t>Selectie master of premaster</t>
  </si>
  <si>
    <t>Random rangnummer bepaald 13-04-2026</t>
  </si>
  <si>
    <t>Master</t>
  </si>
  <si>
    <t>Premaster</t>
  </si>
  <si>
    <t>Uiteindelijke rangnummer master FMC 26-27</t>
  </si>
  <si>
    <t>AA</t>
  </si>
  <si>
    <t>BB</t>
  </si>
  <si>
    <t>DD</t>
  </si>
  <si>
    <t>EE</t>
  </si>
  <si>
    <t>FF</t>
  </si>
  <si>
    <t>aa</t>
  </si>
  <si>
    <t>bb</t>
  </si>
  <si>
    <t>cc</t>
  </si>
  <si>
    <t>dd</t>
  </si>
  <si>
    <t>ee</t>
  </si>
  <si>
    <t>ff</t>
  </si>
  <si>
    <t>A</t>
  </si>
  <si>
    <t>B</t>
  </si>
  <si>
    <t>C</t>
  </si>
  <si>
    <t>D</t>
  </si>
  <si>
    <t>E</t>
  </si>
  <si>
    <t>F</t>
  </si>
  <si>
    <t>G</t>
  </si>
  <si>
    <t>GG</t>
  </si>
  <si>
    <t>X</t>
  </si>
  <si>
    <t>Y</t>
  </si>
  <si>
    <t>gg</t>
  </si>
  <si>
    <t>verdacht</t>
  </si>
  <si>
    <t>omkijken</t>
  </si>
  <si>
    <t>geen probleem</t>
  </si>
  <si>
    <t>testopmerking</t>
  </si>
  <si>
    <t>testtekst 1</t>
  </si>
  <si>
    <t>testtekst 2</t>
  </si>
  <si>
    <t>testtekst 3</t>
  </si>
  <si>
    <t>testtekst 4</t>
  </si>
  <si>
    <t>testtekst 5</t>
  </si>
  <si>
    <t>testtekst 6</t>
  </si>
  <si>
    <t>testtekst 7</t>
  </si>
  <si>
    <t>dummytekst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</si>
</sst>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name val="Calibri"/>
      <family val="2"/>
    </font>
    <font>
      <sz val="11"/>
      <name val="Calibri"/>
    </font>
    <font>
      <sz val="11"/>
      <color rgb="FF000000"/>
      <name val="Calibri"/>
      <family val="2"/>
      <scheme val="minor"/>
    </font>
    <font>
      <sz val="11"/>
      <name val="Calibri"/>
      <family val="2"/>
    </font>
    <font>
      <u/>
      <sz val="11"/>
      <color theme="1"/>
      <name val="Calibri"/>
      <family val="2"/>
      <scheme val="minor"/>
    </font>
    <font>
      <sz val="11"/>
      <color rgb="FFFF0000"/>
      <name val="Calibri"/>
      <family val="2"/>
      <scheme val="minor"/>
    </font>
    <font>
      <sz val="11"/>
      <color rgb="FF006100"/>
      <name val="Calibri"/>
      <family val="2"/>
      <scheme val="minor"/>
    </font>
    <font>
      <sz val="8"/>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C6EFCE"/>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4" fillId="0" borderId="0"/>
    <xf numFmtId="0" fontId="8" fillId="8" borderId="0" applyNumberFormat="0" applyBorder="0" applyAlignment="0" applyProtection="0"/>
  </cellStyleXfs>
  <cellXfs count="34">
    <xf numFmtId="0" fontId="0" fillId="0" borderId="0" xfId="0"/>
    <xf numFmtId="0" fontId="0" fillId="0" borderId="0" xfId="0" applyAlignment="1">
      <alignment vertical="top"/>
    </xf>
    <xf numFmtId="0" fontId="0" fillId="0" borderId="0" xfId="0" applyAlignment="1">
      <alignment vertical="top" wrapText="1"/>
    </xf>
    <xf numFmtId="0" fontId="5" fillId="0" borderId="0" xfId="1" applyFont="1" applyAlignment="1">
      <alignment horizontal="left" vertical="top" wrapText="1"/>
    </xf>
    <xf numFmtId="0" fontId="1" fillId="3" borderId="0" xfId="0" applyFont="1" applyFill="1" applyAlignment="1">
      <alignment vertical="top" wrapText="1"/>
    </xf>
    <xf numFmtId="2" fontId="1" fillId="0" borderId="0" xfId="0" applyNumberFormat="1" applyFont="1" applyAlignment="1">
      <alignment vertical="top" wrapText="1"/>
    </xf>
    <xf numFmtId="2" fontId="1" fillId="5" borderId="0" xfId="0" applyNumberFormat="1" applyFont="1" applyFill="1" applyAlignment="1">
      <alignment vertical="top" wrapText="1"/>
    </xf>
    <xf numFmtId="2" fontId="1" fillId="4" borderId="0" xfId="0" applyNumberFormat="1" applyFont="1" applyFill="1" applyAlignment="1">
      <alignment vertical="top" wrapText="1"/>
    </xf>
    <xf numFmtId="1" fontId="0" fillId="0" borderId="0" xfId="0" applyNumberFormat="1" applyAlignment="1">
      <alignment vertical="top"/>
    </xf>
    <xf numFmtId="10" fontId="0" fillId="0" borderId="0" xfId="0" applyNumberFormat="1" applyAlignment="1">
      <alignment vertical="top"/>
    </xf>
    <xf numFmtId="2" fontId="0" fillId="5" borderId="0" xfId="0" applyNumberFormat="1" applyFill="1" applyAlignment="1">
      <alignment vertical="top"/>
    </xf>
    <xf numFmtId="2" fontId="0" fillId="4" borderId="0" xfId="0" applyNumberFormat="1" applyFill="1" applyAlignment="1">
      <alignment vertical="top"/>
    </xf>
    <xf numFmtId="2" fontId="0" fillId="6" borderId="0" xfId="0" applyNumberFormat="1" applyFill="1" applyAlignment="1">
      <alignment vertical="top"/>
    </xf>
    <xf numFmtId="0" fontId="5" fillId="3" borderId="2" xfId="1" applyFont="1" applyFill="1" applyBorder="1" applyAlignment="1">
      <alignment horizontal="left" vertical="top" wrapText="1"/>
    </xf>
    <xf numFmtId="2" fontId="1" fillId="6" borderId="0" xfId="0" applyNumberFormat="1" applyFont="1" applyFill="1" applyAlignment="1">
      <alignment vertical="top" wrapText="1"/>
    </xf>
    <xf numFmtId="2" fontId="0" fillId="3" borderId="0" xfId="0" applyNumberFormat="1" applyFill="1" applyAlignment="1">
      <alignment vertical="top"/>
    </xf>
    <xf numFmtId="1" fontId="0" fillId="7" borderId="0" xfId="0" applyNumberFormat="1" applyFill="1" applyAlignment="1">
      <alignment vertical="top"/>
    </xf>
    <xf numFmtId="0" fontId="0" fillId="7" borderId="0" xfId="0" applyFill="1" applyAlignment="1">
      <alignment vertical="top"/>
    </xf>
    <xf numFmtId="0" fontId="1" fillId="7" borderId="0" xfId="0" applyFont="1" applyFill="1" applyAlignment="1">
      <alignment vertical="top" wrapText="1"/>
    </xf>
    <xf numFmtId="0" fontId="1" fillId="0" borderId="0" xfId="0" applyFont="1" applyAlignment="1">
      <alignment vertical="top"/>
    </xf>
    <xf numFmtId="0" fontId="2" fillId="2" borderId="1" xfId="0" applyFont="1" applyFill="1" applyBorder="1" applyAlignment="1">
      <alignment horizontal="left" vertical="top"/>
    </xf>
    <xf numFmtId="0" fontId="2" fillId="0" borderId="0" xfId="0" applyFont="1" applyAlignment="1">
      <alignment horizontal="left" vertical="top"/>
    </xf>
    <xf numFmtId="2" fontId="1" fillId="6" borderId="0" xfId="0" applyNumberFormat="1" applyFont="1" applyFill="1" applyAlignment="1">
      <alignment vertical="top"/>
    </xf>
    <xf numFmtId="2" fontId="1" fillId="5" borderId="0" xfId="0" applyNumberFormat="1" applyFont="1" applyFill="1" applyAlignment="1">
      <alignment vertical="top"/>
    </xf>
    <xf numFmtId="2" fontId="1" fillId="4" borderId="0" xfId="0" applyNumberFormat="1" applyFont="1" applyFill="1" applyAlignment="1">
      <alignment vertical="top"/>
    </xf>
    <xf numFmtId="0" fontId="1" fillId="7" borderId="0" xfId="0" applyFont="1" applyFill="1" applyAlignment="1">
      <alignment vertical="top"/>
    </xf>
    <xf numFmtId="2" fontId="1" fillId="3" borderId="0" xfId="0" applyNumberFormat="1" applyFont="1" applyFill="1" applyAlignment="1">
      <alignment vertical="top"/>
    </xf>
    <xf numFmtId="0" fontId="3" fillId="0" borderId="1" xfId="0" applyFont="1" applyBorder="1" applyAlignment="1">
      <alignment vertical="top"/>
    </xf>
    <xf numFmtId="0" fontId="3" fillId="0" borderId="0" xfId="0" applyFont="1" applyAlignment="1">
      <alignment vertical="top"/>
    </xf>
    <xf numFmtId="0" fontId="8" fillId="0" borderId="0" xfId="2" applyFill="1" applyAlignment="1">
      <alignment vertical="top"/>
    </xf>
    <xf numFmtId="0" fontId="8" fillId="9" borderId="0" xfId="2" applyFill="1" applyAlignment="1">
      <alignment vertical="top"/>
    </xf>
    <xf numFmtId="0" fontId="0" fillId="9" borderId="0" xfId="0" applyFill="1" applyAlignment="1">
      <alignment vertical="top"/>
    </xf>
    <xf numFmtId="16" fontId="0" fillId="0" borderId="0" xfId="0" applyNumberFormat="1" applyAlignment="1">
      <alignment vertical="top"/>
    </xf>
    <xf numFmtId="20" fontId="0" fillId="0" borderId="0" xfId="0" applyNumberFormat="1" applyAlignment="1">
      <alignment vertical="top"/>
    </xf>
  </cellXfs>
  <cellStyles count="3">
    <cellStyle name="Good" xfId="2" builtinId="26"/>
    <cellStyle name="Normal" xfId="0" builtinId="0"/>
    <cellStyle name="Standaard 2" xfId="1" xr:uid="{9801CE5B-9FEB-4034-9326-538F096077B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8"/>
  <sheetViews>
    <sheetView tabSelected="1" workbookViewId="0">
      <pane ySplit="1" topLeftCell="A2" activePane="bottomLeft" state="frozen"/>
      <selection activeCell="CE1" sqref="CE1"/>
      <selection pane="bottomLeft" activeCell="C10" sqref="C10"/>
    </sheetView>
  </sheetViews>
  <sheetFormatPr defaultColWidth="9.140625" defaultRowHeight="15" x14ac:dyDescent="0.25"/>
  <cols>
    <col min="1" max="1" width="17" style="1" customWidth="1"/>
    <col min="2" max="2" width="23.140625" style="1" customWidth="1"/>
    <col min="3" max="3" width="24.85546875" style="1" customWidth="1"/>
    <col min="4" max="4" width="16.7109375" style="1" customWidth="1"/>
    <col min="5" max="5" width="7" style="1" customWidth="1"/>
    <col min="6" max="6" width="12.5703125" style="1" customWidth="1"/>
    <col min="7" max="7" width="15.140625" style="1" customWidth="1"/>
    <col min="8" max="8" width="10" style="1" customWidth="1"/>
    <col min="9" max="9" width="10.7109375" style="1" customWidth="1"/>
    <col min="10" max="10" width="12.42578125" style="1" customWidth="1"/>
    <col min="11" max="11" width="18.42578125" style="1" customWidth="1"/>
    <col min="12" max="12" width="14.42578125" style="1" customWidth="1"/>
    <col min="13" max="23" width="9.140625" style="1"/>
    <col min="24" max="24" width="18.42578125" style="1" customWidth="1"/>
    <col min="25" max="25" width="15.42578125" style="1" customWidth="1"/>
    <col min="26" max="26" width="16.42578125" style="1" customWidth="1"/>
    <col min="27" max="43" width="9.140625" style="1"/>
    <col min="44" max="44" width="26.5703125" style="1" customWidth="1"/>
    <col min="45" max="45" width="17.140625" style="1" customWidth="1"/>
    <col min="46" max="46" width="18.5703125" style="1" customWidth="1"/>
    <col min="47" max="47" width="10.140625" style="1" customWidth="1"/>
    <col min="48" max="48" width="69.42578125" style="1" customWidth="1"/>
    <col min="49" max="49" width="9.140625" style="1"/>
    <col min="50" max="51" width="11.85546875" style="28" bestFit="1" customWidth="1"/>
    <col min="52" max="52" width="35.140625" style="28" customWidth="1"/>
    <col min="53" max="54" width="9.140625" style="1"/>
    <col min="55" max="55" width="37.5703125" style="1" customWidth="1"/>
    <col min="56" max="56" width="17" style="1" customWidth="1"/>
    <col min="57" max="57" width="19.5703125" style="1" customWidth="1"/>
    <col min="58" max="58" width="9.5703125" style="1" customWidth="1"/>
    <col min="59" max="59" width="33.42578125" style="1" customWidth="1"/>
    <col min="60" max="61" width="9.140625" style="1"/>
    <col min="62" max="62" width="33.5703125" style="1" customWidth="1"/>
    <col min="63" max="63" width="16.42578125" style="1" customWidth="1"/>
    <col min="64" max="64" width="16.85546875" style="1" customWidth="1"/>
    <col min="65" max="65" width="9.140625" style="1"/>
    <col min="66" max="66" width="21" style="1" customWidth="1"/>
    <col min="67" max="71" width="9.140625" style="1"/>
    <col min="72" max="72" width="15.85546875" style="12" customWidth="1"/>
    <col min="73" max="73" width="13.42578125" style="12" customWidth="1"/>
    <col min="74" max="74" width="13" style="12" customWidth="1"/>
    <col min="75" max="82" width="9.140625" style="12"/>
    <col min="83" max="88" width="9.140625" style="10"/>
    <col min="89" max="89" width="13.85546875" style="11" customWidth="1"/>
    <col min="90" max="90" width="14.5703125" style="10" customWidth="1"/>
    <col min="91" max="91" width="16.85546875" style="17" customWidth="1"/>
    <col min="92" max="92" width="17" style="17" customWidth="1"/>
    <col min="93" max="93" width="13.85546875" style="15" customWidth="1"/>
    <col min="94" max="94" width="18.85546875" style="15" customWidth="1"/>
    <col min="95" max="95" width="12.5703125" style="1" customWidth="1"/>
    <col min="96" max="97" width="39.42578125" style="1" bestFit="1" customWidth="1"/>
    <col min="98" max="16384" width="9.140625" style="1"/>
  </cols>
  <sheetData>
    <row r="1" spans="1:97" s="19" customFormat="1" x14ac:dyDescent="0.25">
      <c r="A1" s="19" t="s">
        <v>0</v>
      </c>
      <c r="B1" s="19" t="s">
        <v>1</v>
      </c>
      <c r="C1" s="19" t="s">
        <v>2</v>
      </c>
      <c r="D1" s="19" t="s">
        <v>3</v>
      </c>
      <c r="E1" s="19" t="s">
        <v>4</v>
      </c>
      <c r="F1" s="19" t="s">
        <v>5</v>
      </c>
      <c r="G1" s="19" t="s">
        <v>6</v>
      </c>
      <c r="H1" s="19" t="s">
        <v>7</v>
      </c>
      <c r="I1" s="19" t="s">
        <v>8</v>
      </c>
      <c r="J1" s="19" t="s">
        <v>9</v>
      </c>
      <c r="K1" s="19" t="s">
        <v>10</v>
      </c>
      <c r="L1" s="19" t="s">
        <v>11</v>
      </c>
      <c r="M1" s="19" t="s">
        <v>12</v>
      </c>
      <c r="N1" s="19" t="s">
        <v>13</v>
      </c>
      <c r="O1" s="19" t="s">
        <v>14</v>
      </c>
      <c r="P1" s="19" t="s">
        <v>15</v>
      </c>
      <c r="Q1" s="19" t="s">
        <v>16</v>
      </c>
      <c r="R1" s="19" t="s">
        <v>17</v>
      </c>
      <c r="S1" s="19" t="s">
        <v>18</v>
      </c>
      <c r="T1" s="19" t="s">
        <v>19</v>
      </c>
      <c r="U1" s="19" t="s">
        <v>20</v>
      </c>
      <c r="V1" s="19" t="s">
        <v>21</v>
      </c>
      <c r="W1" s="19" t="s">
        <v>22</v>
      </c>
      <c r="X1" s="19" t="s">
        <v>23</v>
      </c>
      <c r="Y1" s="19" t="s">
        <v>24</v>
      </c>
      <c r="Z1" s="19" t="s">
        <v>25</v>
      </c>
      <c r="AA1" s="19" t="s">
        <v>26</v>
      </c>
      <c r="AB1" s="19" t="s">
        <v>27</v>
      </c>
      <c r="AC1" s="19" t="s">
        <v>28</v>
      </c>
      <c r="AD1" s="19" t="s">
        <v>29</v>
      </c>
      <c r="AE1" s="19" t="s">
        <v>30</v>
      </c>
      <c r="AF1" s="19" t="s">
        <v>31</v>
      </c>
      <c r="AG1" s="19" t="s">
        <v>32</v>
      </c>
      <c r="AH1" s="19" t="s">
        <v>33</v>
      </c>
      <c r="AI1" s="19" t="s">
        <v>34</v>
      </c>
      <c r="AJ1" s="19" t="s">
        <v>35</v>
      </c>
      <c r="AK1" s="19" t="s">
        <v>36</v>
      </c>
      <c r="AL1" s="19" t="s">
        <v>37</v>
      </c>
      <c r="AM1" s="19" t="s">
        <v>38</v>
      </c>
      <c r="AN1" s="19" t="s">
        <v>39</v>
      </c>
      <c r="AO1" s="19" t="s">
        <v>40</v>
      </c>
      <c r="AP1" s="19" t="s">
        <v>41</v>
      </c>
      <c r="AQ1" s="19" t="s">
        <v>42</v>
      </c>
      <c r="AR1" s="19" t="s">
        <v>43</v>
      </c>
      <c r="AS1" s="19" t="s">
        <v>44</v>
      </c>
      <c r="AT1" s="19" t="s">
        <v>45</v>
      </c>
      <c r="AU1" s="19" t="s">
        <v>46</v>
      </c>
      <c r="AV1" s="19" t="s">
        <v>47</v>
      </c>
      <c r="AW1" s="19" t="s">
        <v>48</v>
      </c>
      <c r="AX1" s="20" t="s">
        <v>49</v>
      </c>
      <c r="AY1" s="20" t="s">
        <v>50</v>
      </c>
      <c r="AZ1" s="21" t="s">
        <v>51</v>
      </c>
      <c r="BA1" s="19" t="s">
        <v>52</v>
      </c>
      <c r="BB1" s="19" t="s">
        <v>53</v>
      </c>
      <c r="BC1" s="19" t="s">
        <v>54</v>
      </c>
      <c r="BD1" s="19" t="s">
        <v>55</v>
      </c>
      <c r="BE1" s="19" t="s">
        <v>56</v>
      </c>
      <c r="BF1" s="19" t="s">
        <v>57</v>
      </c>
      <c r="BG1" s="19" t="s">
        <v>58</v>
      </c>
      <c r="BH1" s="19" t="s">
        <v>59</v>
      </c>
      <c r="BI1" s="19" t="s">
        <v>60</v>
      </c>
      <c r="BJ1" s="19" t="s">
        <v>61</v>
      </c>
      <c r="BK1" s="19" t="s">
        <v>62</v>
      </c>
      <c r="BL1" s="19" t="s">
        <v>63</v>
      </c>
      <c r="BM1" s="19" t="s">
        <v>64</v>
      </c>
      <c r="BN1" s="19" t="s">
        <v>65</v>
      </c>
      <c r="BO1" s="19" t="s">
        <v>66</v>
      </c>
      <c r="BP1" s="19" t="s">
        <v>67</v>
      </c>
      <c r="BQ1" s="19" t="s">
        <v>68</v>
      </c>
      <c r="BR1" s="19" t="s">
        <v>69</v>
      </c>
      <c r="BS1" s="19" t="s">
        <v>70</v>
      </c>
      <c r="BT1" s="22" t="s">
        <v>71</v>
      </c>
      <c r="BU1" s="22" t="s">
        <v>72</v>
      </c>
      <c r="BV1" s="22" t="s">
        <v>73</v>
      </c>
      <c r="BW1" s="22" t="s">
        <v>74</v>
      </c>
      <c r="BX1" s="22" t="s">
        <v>75</v>
      </c>
      <c r="BY1" s="22" t="s">
        <v>76</v>
      </c>
      <c r="BZ1" s="22" t="s">
        <v>77</v>
      </c>
      <c r="CA1" s="22" t="s">
        <v>78</v>
      </c>
      <c r="CB1" s="22" t="s">
        <v>79</v>
      </c>
      <c r="CC1" s="22" t="s">
        <v>80</v>
      </c>
      <c r="CD1" s="22" t="s">
        <v>81</v>
      </c>
      <c r="CE1" s="23" t="s">
        <v>82</v>
      </c>
      <c r="CF1" s="23" t="s">
        <v>83</v>
      </c>
      <c r="CG1" s="23" t="s">
        <v>84</v>
      </c>
      <c r="CH1" s="23" t="s">
        <v>85</v>
      </c>
      <c r="CI1" s="23" t="s">
        <v>86</v>
      </c>
      <c r="CJ1" s="23" t="s">
        <v>87</v>
      </c>
      <c r="CK1" s="24" t="s">
        <v>88</v>
      </c>
      <c r="CL1" s="23" t="s">
        <v>89</v>
      </c>
      <c r="CM1" s="25" t="s">
        <v>90</v>
      </c>
      <c r="CN1" s="25" t="s">
        <v>91</v>
      </c>
      <c r="CO1" s="26" t="s">
        <v>92</v>
      </c>
      <c r="CP1" s="26" t="s">
        <v>93</v>
      </c>
      <c r="CQ1" s="19" t="s">
        <v>204</v>
      </c>
      <c r="CR1" s="19" t="s">
        <v>205</v>
      </c>
      <c r="CS1" s="19" t="s">
        <v>208</v>
      </c>
    </row>
    <row r="2" spans="1:97" x14ac:dyDescent="0.25">
      <c r="A2" s="1" t="s">
        <v>94</v>
      </c>
      <c r="B2" s="1" t="s">
        <v>95</v>
      </c>
      <c r="C2" s="1" t="s">
        <v>94</v>
      </c>
      <c r="D2" s="1" t="s">
        <v>220</v>
      </c>
      <c r="E2" s="1" t="s">
        <v>220</v>
      </c>
      <c r="F2" s="1" t="s">
        <v>209</v>
      </c>
      <c r="H2" s="1" t="s">
        <v>214</v>
      </c>
      <c r="I2" s="1">
        <v>123456</v>
      </c>
      <c r="J2" s="1" t="s">
        <v>96</v>
      </c>
      <c r="K2" s="1" t="s">
        <v>97</v>
      </c>
      <c r="L2" s="1" t="s">
        <v>98</v>
      </c>
      <c r="M2" s="1" t="s">
        <v>99</v>
      </c>
      <c r="N2" s="8">
        <v>0</v>
      </c>
      <c r="O2" s="9" t="e">
        <v>#NULL!</v>
      </c>
      <c r="X2" s="1" t="s">
        <v>23</v>
      </c>
      <c r="Y2" s="1" t="s">
        <v>100</v>
      </c>
      <c r="Z2" s="1" t="s">
        <v>101</v>
      </c>
      <c r="AA2" s="1" t="s">
        <v>98</v>
      </c>
      <c r="AB2" s="8">
        <v>25</v>
      </c>
      <c r="AC2" s="8">
        <v>6</v>
      </c>
      <c r="AD2" s="8">
        <v>5</v>
      </c>
      <c r="AE2" s="8">
        <v>1</v>
      </c>
      <c r="AF2" s="8">
        <v>23</v>
      </c>
      <c r="AG2" s="8">
        <v>8</v>
      </c>
      <c r="AH2" s="8">
        <v>25</v>
      </c>
      <c r="AI2" s="8">
        <v>9</v>
      </c>
      <c r="AJ2" s="8">
        <v>25</v>
      </c>
      <c r="AK2" s="8">
        <v>9</v>
      </c>
      <c r="AL2" s="8">
        <v>30</v>
      </c>
      <c r="AM2" s="8">
        <v>9</v>
      </c>
      <c r="AN2" s="8">
        <v>25</v>
      </c>
      <c r="AO2" s="8">
        <v>9</v>
      </c>
      <c r="AP2" s="8">
        <v>24</v>
      </c>
      <c r="AQ2" s="8">
        <v>8</v>
      </c>
      <c r="AR2" s="1" t="s">
        <v>102</v>
      </c>
      <c r="AS2" s="1" t="s">
        <v>103</v>
      </c>
      <c r="AT2" s="1" t="s">
        <v>99</v>
      </c>
      <c r="AU2" s="1" t="s">
        <v>98</v>
      </c>
      <c r="AV2" s="1" t="s">
        <v>235</v>
      </c>
      <c r="AW2" s="8">
        <v>314</v>
      </c>
      <c r="AX2" s="27" t="s">
        <v>104</v>
      </c>
      <c r="AY2" s="27" t="s">
        <v>105</v>
      </c>
      <c r="BA2" s="8">
        <v>3</v>
      </c>
      <c r="BB2" s="8">
        <v>2</v>
      </c>
      <c r="BC2" s="1" t="s">
        <v>106</v>
      </c>
      <c r="BD2" s="1" t="s">
        <v>107</v>
      </c>
      <c r="BE2" s="1" t="s">
        <v>100</v>
      </c>
      <c r="BF2" s="1" t="s">
        <v>98</v>
      </c>
      <c r="BG2" s="1" t="s">
        <v>108</v>
      </c>
      <c r="BH2" s="8">
        <v>51</v>
      </c>
      <c r="BI2" s="8">
        <v>7</v>
      </c>
      <c r="BJ2" s="1" t="s">
        <v>109</v>
      </c>
      <c r="BK2" s="1" t="s">
        <v>110</v>
      </c>
      <c r="BL2" s="1" t="s">
        <v>111</v>
      </c>
      <c r="BM2" s="1" t="s">
        <v>98</v>
      </c>
      <c r="BN2" s="1" t="s">
        <v>112</v>
      </c>
      <c r="BO2" s="8">
        <v>11</v>
      </c>
      <c r="BP2" s="8">
        <v>4</v>
      </c>
      <c r="BQ2" s="8">
        <v>15</v>
      </c>
      <c r="BR2" s="8">
        <v>11</v>
      </c>
      <c r="BS2" s="8">
        <v>7</v>
      </c>
      <c r="BT2" s="12">
        <v>1.2348184645228726</v>
      </c>
      <c r="BU2" s="12">
        <v>1.3352677044902996</v>
      </c>
      <c r="BV2" s="12">
        <v>1.4348712724353352</v>
      </c>
      <c r="BW2" s="12">
        <v>-2.169748742473163E-2</v>
      </c>
      <c r="BX2" s="12">
        <v>1.1655558870727776</v>
      </c>
      <c r="BY2" s="12">
        <v>1.4163373370515</v>
      </c>
      <c r="BZ2" s="12">
        <v>0.87530021364674493</v>
      </c>
      <c r="CA2" s="12">
        <v>-1.6376520422174459</v>
      </c>
      <c r="CB2" s="12">
        <v>1.6376520422174459</v>
      </c>
      <c r="CC2" s="12">
        <v>1.4735452519016412</v>
      </c>
      <c r="CD2" s="12">
        <v>1.1859108084298444</v>
      </c>
      <c r="CE2" s="10">
        <v>1.3866388598598836</v>
      </c>
      <c r="CF2" s="10">
        <v>1.2850430845065861</v>
      </c>
      <c r="CG2" s="10">
        <v>0.70658689250530182</v>
      </c>
      <c r="CH2" s="10">
        <v>0.8215438265113173</v>
      </c>
      <c r="CI2" s="10">
        <v>1.273711369997117</v>
      </c>
      <c r="CJ2" s="10">
        <v>1.3297280301657428</v>
      </c>
      <c r="CK2" s="11">
        <v>1.1399999999999999</v>
      </c>
      <c r="CL2" s="10">
        <v>2.0699999999999998</v>
      </c>
      <c r="CM2" s="16">
        <v>1</v>
      </c>
      <c r="CN2" s="16">
        <v>1</v>
      </c>
      <c r="CO2" s="15">
        <v>1.1399220535476151</v>
      </c>
      <c r="CP2" s="15">
        <v>2.0748346231710699</v>
      </c>
      <c r="CQ2" s="1" t="s">
        <v>206</v>
      </c>
      <c r="CR2" s="1">
        <v>80</v>
      </c>
      <c r="CS2" s="30">
        <v>1</v>
      </c>
    </row>
    <row r="3" spans="1:97" x14ac:dyDescent="0.25">
      <c r="A3" s="1" t="s">
        <v>94</v>
      </c>
      <c r="B3" s="1" t="s">
        <v>95</v>
      </c>
      <c r="C3" s="1" t="s">
        <v>94</v>
      </c>
      <c r="D3" s="1" t="s">
        <v>221</v>
      </c>
      <c r="E3" s="1" t="s">
        <v>221</v>
      </c>
      <c r="F3" s="1" t="s">
        <v>210</v>
      </c>
      <c r="H3" s="1" t="s">
        <v>215</v>
      </c>
      <c r="I3" s="1">
        <v>234567</v>
      </c>
      <c r="J3" s="1" t="s">
        <v>96</v>
      </c>
      <c r="K3" s="1" t="s">
        <v>97</v>
      </c>
      <c r="L3" s="1" t="s">
        <v>98</v>
      </c>
      <c r="M3" s="1" t="s">
        <v>113</v>
      </c>
      <c r="N3" s="8">
        <v>0</v>
      </c>
      <c r="O3" s="9" t="e">
        <v>#NULL!</v>
      </c>
      <c r="X3" s="1" t="s">
        <v>23</v>
      </c>
      <c r="Y3" s="1" t="s">
        <v>114</v>
      </c>
      <c r="Z3" s="1" t="s">
        <v>115</v>
      </c>
      <c r="AA3" s="1" t="s">
        <v>98</v>
      </c>
      <c r="AB3" s="8">
        <v>25</v>
      </c>
      <c r="AC3" s="8">
        <v>6</v>
      </c>
      <c r="AD3" s="8">
        <v>5</v>
      </c>
      <c r="AE3" s="8">
        <v>1</v>
      </c>
      <c r="AF3" s="8">
        <v>25</v>
      </c>
      <c r="AG3" s="8">
        <v>9</v>
      </c>
      <c r="AH3" s="8">
        <v>25</v>
      </c>
      <c r="AI3" s="8">
        <v>9</v>
      </c>
      <c r="AJ3" s="8">
        <v>25</v>
      </c>
      <c r="AK3" s="8">
        <v>9</v>
      </c>
      <c r="AL3" s="8">
        <v>30</v>
      </c>
      <c r="AM3" s="8">
        <v>9</v>
      </c>
      <c r="AN3" s="8">
        <v>25</v>
      </c>
      <c r="AO3" s="8">
        <v>9</v>
      </c>
      <c r="AP3" s="8">
        <v>25</v>
      </c>
      <c r="AQ3" s="8">
        <v>9</v>
      </c>
      <c r="AR3" s="1" t="s">
        <v>102</v>
      </c>
      <c r="AS3" s="1" t="s">
        <v>116</v>
      </c>
      <c r="AT3" s="1" t="s">
        <v>113</v>
      </c>
      <c r="AU3" s="1" t="s">
        <v>98</v>
      </c>
      <c r="AV3" s="1" t="s">
        <v>236</v>
      </c>
      <c r="AW3" s="8">
        <v>225</v>
      </c>
      <c r="AX3" s="27" t="s">
        <v>104</v>
      </c>
      <c r="AY3" s="27" t="s">
        <v>105</v>
      </c>
      <c r="BA3" s="8">
        <v>3</v>
      </c>
      <c r="BB3" s="8">
        <v>2</v>
      </c>
      <c r="BC3" s="1" t="s">
        <v>106</v>
      </c>
      <c r="BD3" s="1" t="s">
        <v>111</v>
      </c>
      <c r="BE3" s="1" t="s">
        <v>117</v>
      </c>
      <c r="BF3" s="1" t="s">
        <v>98</v>
      </c>
      <c r="BG3" s="1" t="s">
        <v>108</v>
      </c>
      <c r="BH3" s="8">
        <v>55</v>
      </c>
      <c r="BI3" s="8">
        <v>9</v>
      </c>
      <c r="BJ3" s="1" t="s">
        <v>109</v>
      </c>
      <c r="BK3" s="1" t="s">
        <v>118</v>
      </c>
      <c r="BL3" s="1" t="s">
        <v>119</v>
      </c>
      <c r="BM3" s="1" t="s">
        <v>98</v>
      </c>
      <c r="BN3" s="1" t="s">
        <v>112</v>
      </c>
      <c r="BO3" s="8">
        <v>8</v>
      </c>
      <c r="BP3" s="8">
        <v>7</v>
      </c>
      <c r="BQ3" s="8">
        <v>15</v>
      </c>
      <c r="BR3" s="8">
        <v>8</v>
      </c>
      <c r="BS3" s="8">
        <v>5</v>
      </c>
      <c r="BT3" s="12">
        <v>1.2348184645228726</v>
      </c>
      <c r="BU3" s="12">
        <v>1.3352677044902996</v>
      </c>
      <c r="BV3" s="12">
        <v>1.4348712724353352</v>
      </c>
      <c r="BW3" s="12">
        <v>-2.169748742473163E-2</v>
      </c>
      <c r="BX3" s="12">
        <v>1.5314519123817003</v>
      </c>
      <c r="BY3" s="12">
        <v>1.4163373370515</v>
      </c>
      <c r="BZ3" s="12">
        <v>1.4391299616581545</v>
      </c>
      <c r="CA3" s="12">
        <v>-1.6376520422174459</v>
      </c>
      <c r="CB3" s="12">
        <v>1.6376520422174459</v>
      </c>
      <c r="CC3" s="12">
        <v>1.4735452519016412</v>
      </c>
      <c r="CD3" s="12">
        <v>1.1859108084298444</v>
      </c>
      <c r="CE3" s="10">
        <v>0.25543347418471518</v>
      </c>
      <c r="CF3" s="10">
        <v>1.2850430845065861</v>
      </c>
      <c r="CG3" s="10">
        <v>0.70658689250530182</v>
      </c>
      <c r="CH3" s="10">
        <v>1.4095463343751191</v>
      </c>
      <c r="CI3" s="10">
        <v>1.5061428133272001</v>
      </c>
      <c r="CJ3" s="10">
        <v>1.3297280301657428</v>
      </c>
      <c r="CK3" s="11">
        <v>1.0900000000000001</v>
      </c>
      <c r="CL3" s="10">
        <v>1.98</v>
      </c>
      <c r="CM3" s="17" cm="1">
        <f t="array" ref="CM3">_xlfn.IFS(CK3&lt;CK2,CM2+1,CK3=CK2,CM2)</f>
        <v>2</v>
      </c>
      <c r="CN3" s="17" cm="1">
        <f t="array" ref="CN3">_xlfn.IFS(CL3&lt;CL2,CN2+1,CL3=CL2,CN2)</f>
        <v>2</v>
      </c>
      <c r="CO3" s="15">
        <v>1.0901986240306099</v>
      </c>
      <c r="CP3" s="15">
        <v>1.9843302831386842</v>
      </c>
      <c r="CQ3" s="1" t="s">
        <v>207</v>
      </c>
      <c r="CR3" s="1">
        <v>96</v>
      </c>
      <c r="CS3" s="31">
        <v>5</v>
      </c>
    </row>
    <row r="4" spans="1:97" x14ac:dyDescent="0.25">
      <c r="A4" s="1" t="s">
        <v>94</v>
      </c>
      <c r="B4" s="1" t="s">
        <v>95</v>
      </c>
      <c r="C4" s="1" t="s">
        <v>94</v>
      </c>
      <c r="D4" s="1" t="s">
        <v>222</v>
      </c>
      <c r="E4" s="1" t="s">
        <v>222</v>
      </c>
      <c r="F4" s="1" t="s">
        <v>172</v>
      </c>
      <c r="G4" s="1" t="s">
        <v>228</v>
      </c>
      <c r="H4" s="1" t="s">
        <v>216</v>
      </c>
      <c r="I4" s="1">
        <v>345678</v>
      </c>
      <c r="J4" s="1" t="s">
        <v>96</v>
      </c>
      <c r="K4" s="1" t="s">
        <v>97</v>
      </c>
      <c r="L4" s="1" t="s">
        <v>98</v>
      </c>
      <c r="M4" s="1" t="s">
        <v>134</v>
      </c>
      <c r="N4" s="8">
        <v>0</v>
      </c>
      <c r="O4" s="9" t="e">
        <v>#NULL!</v>
      </c>
      <c r="X4" s="1" t="s">
        <v>23</v>
      </c>
      <c r="Y4" s="1" t="s">
        <v>128</v>
      </c>
      <c r="Z4" s="1" t="s">
        <v>100</v>
      </c>
      <c r="AA4" s="1" t="s">
        <v>98</v>
      </c>
      <c r="AB4" s="8">
        <v>22</v>
      </c>
      <c r="AC4" s="8">
        <v>4</v>
      </c>
      <c r="AD4" s="8">
        <v>11</v>
      </c>
      <c r="AE4" s="8">
        <v>3</v>
      </c>
      <c r="AF4" s="8">
        <v>22</v>
      </c>
      <c r="AG4" s="8">
        <v>7</v>
      </c>
      <c r="AH4" s="8">
        <v>22</v>
      </c>
      <c r="AI4" s="8">
        <v>6</v>
      </c>
      <c r="AJ4" s="8">
        <v>21</v>
      </c>
      <c r="AK4" s="8">
        <v>6</v>
      </c>
      <c r="AL4" s="8">
        <v>30</v>
      </c>
      <c r="AM4" s="8">
        <v>9</v>
      </c>
      <c r="AN4" s="8">
        <v>22</v>
      </c>
      <c r="AO4" s="8">
        <v>6</v>
      </c>
      <c r="AP4" s="8">
        <v>16</v>
      </c>
      <c r="AQ4" s="8">
        <v>3</v>
      </c>
      <c r="AR4" s="1" t="s">
        <v>102</v>
      </c>
      <c r="AS4" s="1" t="s">
        <v>100</v>
      </c>
      <c r="AT4" s="1" t="s">
        <v>135</v>
      </c>
      <c r="AU4" s="1" t="s">
        <v>98</v>
      </c>
      <c r="AV4" s="1" t="s">
        <v>237</v>
      </c>
      <c r="AW4" s="8">
        <v>242</v>
      </c>
      <c r="AX4" s="27" t="s">
        <v>104</v>
      </c>
      <c r="AY4" s="27" t="s">
        <v>104</v>
      </c>
      <c r="BA4" s="8">
        <v>3</v>
      </c>
      <c r="BB4" s="8">
        <v>3</v>
      </c>
      <c r="BC4" s="1" t="s">
        <v>106</v>
      </c>
      <c r="BD4" s="1" t="s">
        <v>119</v>
      </c>
      <c r="BE4" s="1" t="s">
        <v>128</v>
      </c>
      <c r="BF4" s="1" t="s">
        <v>98</v>
      </c>
      <c r="BG4" s="1" t="s">
        <v>108</v>
      </c>
      <c r="BH4" s="8">
        <v>45</v>
      </c>
      <c r="BI4" s="8">
        <v>5</v>
      </c>
      <c r="BJ4" s="1" t="s">
        <v>109</v>
      </c>
      <c r="BK4" s="1" t="s">
        <v>127</v>
      </c>
      <c r="BL4" s="1" t="s">
        <v>126</v>
      </c>
      <c r="BM4" s="1" t="s">
        <v>98</v>
      </c>
      <c r="BN4" s="1" t="s">
        <v>112</v>
      </c>
      <c r="BO4" s="8">
        <v>10</v>
      </c>
      <c r="BP4" s="8">
        <v>5</v>
      </c>
      <c r="BQ4" s="8">
        <v>15</v>
      </c>
      <c r="BR4" s="8">
        <v>10</v>
      </c>
      <c r="BS4" s="8">
        <v>6</v>
      </c>
      <c r="BT4" s="12">
        <v>1.2348184645228726</v>
      </c>
      <c r="BU4" s="12">
        <v>1.3352677044902996</v>
      </c>
      <c r="BV4" s="12">
        <v>0.21898946526917745</v>
      </c>
      <c r="BW4" s="12">
        <v>2.668790953241623</v>
      </c>
      <c r="BX4" s="12">
        <v>-1.7616123153986047</v>
      </c>
      <c r="BY4" s="12">
        <v>7.2262109033242386E-2</v>
      </c>
      <c r="BZ4" s="12">
        <v>0.59338533964104012</v>
      </c>
      <c r="CA4" s="12">
        <v>1.284201961163322</v>
      </c>
      <c r="CB4" s="12">
        <v>-1.284201961163322</v>
      </c>
      <c r="CC4" s="12">
        <v>-0.15787984841803282</v>
      </c>
      <c r="CD4" s="12">
        <v>-0.13889045504133224</v>
      </c>
      <c r="CE4" s="10">
        <v>1.0095703979681607</v>
      </c>
      <c r="CF4" s="10">
        <v>1.2850430845065861</v>
      </c>
      <c r="CG4" s="10">
        <v>1.4438902092554002</v>
      </c>
      <c r="CH4" s="10">
        <v>-6.0459935284385299E-2</v>
      </c>
      <c r="CI4" s="10">
        <v>-0.59504170697191094</v>
      </c>
      <c r="CJ4" s="10">
        <v>-0.14838515172968253</v>
      </c>
      <c r="CK4" s="11">
        <v>0.52</v>
      </c>
      <c r="CL4" s="10">
        <v>0.95</v>
      </c>
      <c r="CM4" s="17" cm="1">
        <f t="array" ref="CM4">_xlfn.IFS(CK4&lt;CK3,CM3+1,CK4=CK3,CM3)</f>
        <v>3</v>
      </c>
      <c r="CN4" s="17" cm="1">
        <f t="array" ref="CN4">_xlfn.IFS(CL4&lt;CL3,CN3+1,CL4=CL3,CN3)</f>
        <v>3</v>
      </c>
      <c r="CO4" s="15">
        <v>0.5209404270193303</v>
      </c>
      <c r="CP4" s="15">
        <v>0.94819223053489243</v>
      </c>
      <c r="CQ4" s="1" t="s">
        <v>206</v>
      </c>
      <c r="CR4" s="1">
        <v>106</v>
      </c>
      <c r="CS4" s="30">
        <v>11</v>
      </c>
    </row>
    <row r="5" spans="1:97" x14ac:dyDescent="0.25">
      <c r="A5" s="1" t="s">
        <v>94</v>
      </c>
      <c r="B5" s="1" t="s">
        <v>95</v>
      </c>
      <c r="C5" s="1" t="s">
        <v>142</v>
      </c>
      <c r="D5" s="1" t="s">
        <v>223</v>
      </c>
      <c r="E5" s="1" t="s">
        <v>223</v>
      </c>
      <c r="F5" s="1" t="s">
        <v>211</v>
      </c>
      <c r="H5" s="1" t="s">
        <v>217</v>
      </c>
      <c r="I5" s="1">
        <v>135790</v>
      </c>
      <c r="J5" s="1" t="s">
        <v>96</v>
      </c>
      <c r="K5" s="1" t="s">
        <v>132</v>
      </c>
      <c r="L5" s="1" t="s">
        <v>98</v>
      </c>
      <c r="M5" s="1" t="s">
        <v>145</v>
      </c>
      <c r="N5" s="8">
        <v>0</v>
      </c>
      <c r="O5" s="9" t="e">
        <v>#NULL!</v>
      </c>
      <c r="P5" s="32">
        <v>46129</v>
      </c>
      <c r="Q5" s="32">
        <v>46129</v>
      </c>
      <c r="R5" s="33">
        <v>0.5444444444444444</v>
      </c>
      <c r="S5" s="33">
        <v>0.67361111111111116</v>
      </c>
      <c r="T5" s="1" t="s">
        <v>231</v>
      </c>
      <c r="U5" s="1" t="s">
        <v>232</v>
      </c>
      <c r="V5" s="1" t="s">
        <v>233</v>
      </c>
      <c r="W5" s="1" t="s">
        <v>234</v>
      </c>
      <c r="X5" s="1" t="s">
        <v>23</v>
      </c>
      <c r="Y5" s="1" t="s">
        <v>120</v>
      </c>
      <c r="Z5" s="1" t="s">
        <v>130</v>
      </c>
      <c r="AA5" s="1" t="s">
        <v>98</v>
      </c>
      <c r="AB5" s="8">
        <v>24</v>
      </c>
      <c r="AC5" s="8">
        <v>5</v>
      </c>
      <c r="AD5" s="8">
        <v>10</v>
      </c>
      <c r="AE5" s="8">
        <v>3</v>
      </c>
      <c r="AF5" s="8">
        <v>22</v>
      </c>
      <c r="AG5" s="8">
        <v>7</v>
      </c>
      <c r="AH5" s="8">
        <v>22</v>
      </c>
      <c r="AI5" s="8">
        <v>6</v>
      </c>
      <c r="AJ5" s="8">
        <v>21</v>
      </c>
      <c r="AK5" s="8">
        <v>6</v>
      </c>
      <c r="AL5" s="8">
        <v>29</v>
      </c>
      <c r="AM5" s="8">
        <v>8</v>
      </c>
      <c r="AN5" s="8">
        <v>25</v>
      </c>
      <c r="AO5" s="8">
        <v>9</v>
      </c>
      <c r="AP5" s="8">
        <v>24</v>
      </c>
      <c r="AQ5" s="8">
        <v>8</v>
      </c>
      <c r="AR5" s="1" t="s">
        <v>102</v>
      </c>
      <c r="AS5" s="1" t="s">
        <v>125</v>
      </c>
      <c r="AT5" s="1" t="s">
        <v>145</v>
      </c>
      <c r="AU5" s="1" t="s">
        <v>98</v>
      </c>
      <c r="AV5" s="1" t="s">
        <v>238</v>
      </c>
      <c r="AW5" s="8">
        <v>323</v>
      </c>
      <c r="AX5" s="27" t="s">
        <v>105</v>
      </c>
      <c r="AY5" s="27" t="s">
        <v>148</v>
      </c>
      <c r="AZ5" s="28" t="s">
        <v>242</v>
      </c>
      <c r="BA5" s="8">
        <v>2</v>
      </c>
      <c r="BB5" s="8">
        <v>1</v>
      </c>
      <c r="BC5" s="1" t="s">
        <v>143</v>
      </c>
      <c r="BD5" s="1" t="s">
        <v>140</v>
      </c>
      <c r="BE5" s="1" t="s">
        <v>129</v>
      </c>
      <c r="BF5" s="1" t="s">
        <v>98</v>
      </c>
      <c r="BG5" s="1" t="s">
        <v>108</v>
      </c>
      <c r="BH5" s="8">
        <v>52</v>
      </c>
      <c r="BI5" s="8">
        <v>8</v>
      </c>
      <c r="BJ5" s="1" t="s">
        <v>144</v>
      </c>
      <c r="BK5" s="1" t="s">
        <v>127</v>
      </c>
      <c r="BL5" s="1" t="s">
        <v>141</v>
      </c>
      <c r="BM5" s="1" t="s">
        <v>98</v>
      </c>
      <c r="BN5" s="1" t="s">
        <v>112</v>
      </c>
      <c r="BO5" s="8">
        <v>8</v>
      </c>
      <c r="BP5" s="8">
        <v>7</v>
      </c>
      <c r="BQ5" s="8">
        <v>15</v>
      </c>
      <c r="BR5" s="8">
        <v>8</v>
      </c>
      <c r="BS5" s="8">
        <v>5</v>
      </c>
      <c r="BT5" s="12">
        <v>0.83711069932589732</v>
      </c>
      <c r="BU5" s="12">
        <v>-0.56787247202461244</v>
      </c>
      <c r="BV5" s="12">
        <v>1.4348712724353352</v>
      </c>
      <c r="BW5" s="12">
        <v>-2.169748742473163E-2</v>
      </c>
      <c r="BX5" s="12">
        <v>1.1655558870727776</v>
      </c>
      <c r="BY5" s="12">
        <v>0.96831226104541412</v>
      </c>
      <c r="BZ5" s="12">
        <v>0.59338533964104012</v>
      </c>
      <c r="CA5" s="12">
        <v>0.79722629393319411</v>
      </c>
      <c r="CB5" s="12">
        <v>-0.79722629393319411</v>
      </c>
      <c r="CC5" s="12">
        <v>-0.15787984841803282</v>
      </c>
      <c r="CD5" s="12">
        <v>-0.13889045504133224</v>
      </c>
      <c r="CE5" s="10">
        <v>0.25543347418471518</v>
      </c>
      <c r="CF5" s="10">
        <v>0.13461911365064244</v>
      </c>
      <c r="CG5" s="10">
        <v>0.70658689250530182</v>
      </c>
      <c r="CH5" s="10">
        <v>0.9685444534772677</v>
      </c>
      <c r="CI5" s="10">
        <v>0.48250679845650946</v>
      </c>
      <c r="CJ5" s="10">
        <v>-0.14838515172968253</v>
      </c>
      <c r="CK5" s="11">
        <v>0.39</v>
      </c>
      <c r="CL5" s="10">
        <v>0.71</v>
      </c>
      <c r="CM5" s="17" cm="1">
        <f t="array" ref="CM5">_xlfn.IFS(CK5&lt;CK4,CM4+1,CK5=CK4,CM4)</f>
        <v>4</v>
      </c>
      <c r="CN5" s="17" cm="1">
        <f t="array" ref="CN5">_xlfn.IFS(CL5&lt;CL4,CN4+1,CL5=CL4,CN4)</f>
        <v>4</v>
      </c>
      <c r="CO5" s="15">
        <v>0.38927365743318637</v>
      </c>
      <c r="CP5" s="15">
        <v>0.70853832489439783</v>
      </c>
      <c r="CQ5" s="1" t="s">
        <v>206</v>
      </c>
      <c r="CR5" s="1">
        <v>75</v>
      </c>
      <c r="CS5" s="30">
        <v>31</v>
      </c>
    </row>
    <row r="6" spans="1:97" x14ac:dyDescent="0.25">
      <c r="A6" s="1" t="s">
        <v>94</v>
      </c>
      <c r="B6" s="1" t="s">
        <v>95</v>
      </c>
      <c r="C6" s="1" t="s">
        <v>94</v>
      </c>
      <c r="D6" s="1" t="s">
        <v>224</v>
      </c>
      <c r="E6" s="1" t="s">
        <v>224</v>
      </c>
      <c r="F6" s="1" t="s">
        <v>212</v>
      </c>
      <c r="H6" s="1" t="s">
        <v>218</v>
      </c>
      <c r="I6" s="1">
        <v>231456</v>
      </c>
      <c r="J6" s="1" t="s">
        <v>96</v>
      </c>
      <c r="K6" s="1" t="s">
        <v>97</v>
      </c>
      <c r="L6" s="1" t="s">
        <v>98</v>
      </c>
      <c r="M6" s="1" t="s">
        <v>146</v>
      </c>
      <c r="N6" s="8">
        <v>0</v>
      </c>
      <c r="O6" s="9" t="e">
        <v>#NULL!</v>
      </c>
      <c r="X6" s="1" t="s">
        <v>23</v>
      </c>
      <c r="Y6" s="1" t="s">
        <v>131</v>
      </c>
      <c r="Z6" s="1" t="s">
        <v>137</v>
      </c>
      <c r="AA6" s="1" t="s">
        <v>98</v>
      </c>
      <c r="AB6" s="8">
        <v>23</v>
      </c>
      <c r="AC6" s="8">
        <v>5</v>
      </c>
      <c r="AD6" s="8">
        <v>7</v>
      </c>
      <c r="AE6" s="8">
        <v>2</v>
      </c>
      <c r="AF6" s="8">
        <v>20</v>
      </c>
      <c r="AG6" s="8">
        <v>7</v>
      </c>
      <c r="AH6" s="8">
        <v>22</v>
      </c>
      <c r="AI6" s="8">
        <v>6</v>
      </c>
      <c r="AJ6" s="8">
        <v>23</v>
      </c>
      <c r="AK6" s="8">
        <v>7</v>
      </c>
      <c r="AL6" s="8">
        <v>28</v>
      </c>
      <c r="AM6" s="8">
        <v>8</v>
      </c>
      <c r="AN6" s="8">
        <v>22</v>
      </c>
      <c r="AO6" s="8">
        <v>6</v>
      </c>
      <c r="AP6" s="8">
        <v>23</v>
      </c>
      <c r="AQ6" s="8">
        <v>7</v>
      </c>
      <c r="AR6" s="1" t="s">
        <v>102</v>
      </c>
      <c r="AS6" s="1" t="s">
        <v>136</v>
      </c>
      <c r="AT6" s="1" t="s">
        <v>146</v>
      </c>
      <c r="AU6" s="1" t="s">
        <v>98</v>
      </c>
      <c r="AV6" s="1" t="s">
        <v>239</v>
      </c>
      <c r="AW6" s="8">
        <v>205</v>
      </c>
      <c r="AX6" s="27" t="s">
        <v>105</v>
      </c>
      <c r="AY6" s="27" t="s">
        <v>105</v>
      </c>
      <c r="BA6" s="8">
        <v>2</v>
      </c>
      <c r="BB6" s="8">
        <v>2</v>
      </c>
      <c r="BC6" s="1" t="s">
        <v>106</v>
      </c>
      <c r="BD6" s="1" t="s">
        <v>119</v>
      </c>
      <c r="BE6" s="1" t="s">
        <v>128</v>
      </c>
      <c r="BF6" s="1" t="s">
        <v>98</v>
      </c>
      <c r="BG6" s="1" t="s">
        <v>108</v>
      </c>
      <c r="BH6" s="8">
        <v>53</v>
      </c>
      <c r="BI6" s="8">
        <v>8</v>
      </c>
      <c r="BJ6" s="1" t="s">
        <v>109</v>
      </c>
      <c r="BK6" s="1" t="s">
        <v>124</v>
      </c>
      <c r="BL6" s="1" t="s">
        <v>126</v>
      </c>
      <c r="BM6" s="1" t="s">
        <v>98</v>
      </c>
      <c r="BN6" s="1" t="s">
        <v>112</v>
      </c>
      <c r="BO6" s="8">
        <v>6</v>
      </c>
      <c r="BP6" s="8">
        <v>9</v>
      </c>
      <c r="BQ6" s="8">
        <v>15</v>
      </c>
      <c r="BR6" s="8">
        <v>6</v>
      </c>
      <c r="BS6" s="8">
        <v>3</v>
      </c>
      <c r="BT6" s="12">
        <v>0.43940293412892206</v>
      </c>
      <c r="BU6" s="12">
        <v>-0.56787247202461244</v>
      </c>
      <c r="BV6" s="12">
        <v>0.21898946526917745</v>
      </c>
      <c r="BW6" s="12">
        <v>-2.169748742473163E-2</v>
      </c>
      <c r="BX6" s="12">
        <v>0.79965986176385484</v>
      </c>
      <c r="BY6" s="12">
        <v>0.52028718503932825</v>
      </c>
      <c r="BZ6" s="12">
        <v>2.955559162963051E-2</v>
      </c>
      <c r="CA6" s="12">
        <v>-0.66370070775718981</v>
      </c>
      <c r="CB6" s="12">
        <v>0.66370070775718981</v>
      </c>
      <c r="CC6" s="12">
        <v>0.65783270174180419</v>
      </c>
      <c r="CD6" s="12">
        <v>-0.13889045504133224</v>
      </c>
      <c r="CE6" s="10">
        <v>-0.49870344959873031</v>
      </c>
      <c r="CF6" s="10">
        <v>-6.4234768947845189E-2</v>
      </c>
      <c r="CG6" s="10">
        <v>9.8645988922222913E-2</v>
      </c>
      <c r="CH6" s="10">
        <v>1.1155450804432181</v>
      </c>
      <c r="CI6" s="10">
        <v>0.5033008365475008</v>
      </c>
      <c r="CJ6" s="10">
        <v>0.25947112335023598</v>
      </c>
      <c r="CK6" s="11">
        <v>0.22</v>
      </c>
      <c r="CL6" s="10">
        <v>0.41</v>
      </c>
      <c r="CM6" s="17" cm="1">
        <f t="array" ref="CM6">_xlfn.IFS(CK6&lt;CK5,CM5+1,CK6=CK5,CM5)</f>
        <v>5</v>
      </c>
      <c r="CN6" s="17" cm="1">
        <f t="array" ref="CN6">_xlfn.IFS(CL6&lt;CL5,CN5+1,CL6=CL5,CN5)</f>
        <v>5</v>
      </c>
      <c r="CO6" s="15">
        <v>0.22367457895674256</v>
      </c>
      <c r="CP6" s="15">
        <v>0.40712236358472664</v>
      </c>
      <c r="CQ6" s="1" t="s">
        <v>206</v>
      </c>
      <c r="CR6" s="1">
        <v>70</v>
      </c>
      <c r="CS6" s="29">
        <v>51</v>
      </c>
    </row>
    <row r="7" spans="1:97" x14ac:dyDescent="0.25">
      <c r="A7" s="1" t="s">
        <v>94</v>
      </c>
      <c r="B7" s="1" t="s">
        <v>95</v>
      </c>
      <c r="C7" s="1" t="s">
        <v>94</v>
      </c>
      <c r="D7" s="1" t="s">
        <v>225</v>
      </c>
      <c r="E7" s="1" t="s">
        <v>225</v>
      </c>
      <c r="F7" s="1" t="s">
        <v>213</v>
      </c>
      <c r="G7" s="1" t="s">
        <v>229</v>
      </c>
      <c r="H7" s="1" t="s">
        <v>219</v>
      </c>
      <c r="I7" s="1">
        <v>658901</v>
      </c>
      <c r="J7" s="1" t="s">
        <v>96</v>
      </c>
      <c r="K7" s="1" t="s">
        <v>127</v>
      </c>
      <c r="L7" s="1" t="s">
        <v>98</v>
      </c>
      <c r="M7" s="1" t="s">
        <v>133</v>
      </c>
      <c r="N7" s="8">
        <v>0</v>
      </c>
      <c r="O7" s="9" t="e">
        <v>#NULL!</v>
      </c>
      <c r="X7" s="1" t="s">
        <v>23</v>
      </c>
      <c r="Y7" s="1" t="s">
        <v>122</v>
      </c>
      <c r="Z7" s="1" t="s">
        <v>120</v>
      </c>
      <c r="AA7" s="1" t="s">
        <v>98</v>
      </c>
      <c r="AB7" s="8">
        <v>23</v>
      </c>
      <c r="AC7" s="8">
        <v>5</v>
      </c>
      <c r="AD7" s="8">
        <v>9</v>
      </c>
      <c r="AE7" s="8">
        <v>3</v>
      </c>
      <c r="AF7" s="8">
        <v>19</v>
      </c>
      <c r="AG7" s="8">
        <v>6</v>
      </c>
      <c r="AH7" s="8">
        <v>23</v>
      </c>
      <c r="AI7" s="8">
        <v>7</v>
      </c>
      <c r="AJ7" s="8">
        <v>21</v>
      </c>
      <c r="AK7" s="8">
        <v>6</v>
      </c>
      <c r="AL7" s="8">
        <v>26</v>
      </c>
      <c r="AM7" s="8">
        <v>7</v>
      </c>
      <c r="AN7" s="8">
        <v>24</v>
      </c>
      <c r="AO7" s="8">
        <v>8</v>
      </c>
      <c r="AP7" s="8">
        <v>21</v>
      </c>
      <c r="AQ7" s="8">
        <v>6</v>
      </c>
      <c r="AR7" s="1" t="s">
        <v>102</v>
      </c>
      <c r="AS7" s="1" t="s">
        <v>120</v>
      </c>
      <c r="AT7" s="1" t="s">
        <v>147</v>
      </c>
      <c r="AU7" s="1" t="s">
        <v>98</v>
      </c>
      <c r="AV7" s="1" t="s">
        <v>240</v>
      </c>
      <c r="AW7" s="8">
        <v>324</v>
      </c>
      <c r="AX7" s="27" t="s">
        <v>105</v>
      </c>
      <c r="AY7" s="27" t="s">
        <v>105</v>
      </c>
      <c r="BA7" s="8">
        <v>2</v>
      </c>
      <c r="BB7" s="8">
        <v>2</v>
      </c>
      <c r="BC7" s="1" t="s">
        <v>106</v>
      </c>
      <c r="BD7" s="1" t="s">
        <v>121</v>
      </c>
      <c r="BE7" s="1" t="s">
        <v>122</v>
      </c>
      <c r="BF7" s="1" t="s">
        <v>98</v>
      </c>
      <c r="BG7" s="1" t="s">
        <v>108</v>
      </c>
      <c r="BH7" s="8">
        <v>51</v>
      </c>
      <c r="BI7" s="8">
        <v>7</v>
      </c>
      <c r="BJ7" s="1" t="s">
        <v>109</v>
      </c>
      <c r="BK7" s="1" t="s">
        <v>110</v>
      </c>
      <c r="BL7" s="1" t="s">
        <v>138</v>
      </c>
      <c r="BM7" s="1" t="s">
        <v>98</v>
      </c>
      <c r="BN7" s="1" t="s">
        <v>112</v>
      </c>
      <c r="BO7" s="8">
        <v>7</v>
      </c>
      <c r="BP7" s="8">
        <v>8</v>
      </c>
      <c r="BQ7" s="8">
        <v>15</v>
      </c>
      <c r="BR7" s="8">
        <v>7</v>
      </c>
      <c r="BS7" s="8">
        <v>4</v>
      </c>
      <c r="BT7" s="12">
        <v>-0.3560125962650284</v>
      </c>
      <c r="BU7" s="12">
        <v>-0.56787247202461244</v>
      </c>
      <c r="BV7" s="12">
        <v>1.0295773367132828</v>
      </c>
      <c r="BW7" s="12">
        <v>-2.169748742473163E-2</v>
      </c>
      <c r="BX7" s="12">
        <v>6.7867811146009246E-2</v>
      </c>
      <c r="BY7" s="12">
        <v>0.52028718503932825</v>
      </c>
      <c r="BZ7" s="12">
        <v>-0.2523592823760743</v>
      </c>
      <c r="CA7" s="12">
        <v>0.31025062670306608</v>
      </c>
      <c r="CB7" s="12">
        <v>-0.31025062670306608</v>
      </c>
      <c r="CC7" s="12">
        <v>-0.15787984841803282</v>
      </c>
      <c r="CD7" s="12">
        <v>0.30270996611572665</v>
      </c>
      <c r="CE7" s="10">
        <v>-0.12163498770700756</v>
      </c>
      <c r="CF7" s="10">
        <v>-0.46194253414482045</v>
      </c>
      <c r="CG7" s="10">
        <v>0.50393992464427562</v>
      </c>
      <c r="CH7" s="10">
        <v>0.8215438265113173</v>
      </c>
      <c r="CI7" s="10">
        <v>6.3862717765492804E-3</v>
      </c>
      <c r="CJ7" s="10">
        <v>7.2415058848846914E-2</v>
      </c>
      <c r="CK7" s="11">
        <v>0.11</v>
      </c>
      <c r="CL7" s="10">
        <v>0.21</v>
      </c>
      <c r="CM7" s="17" cm="1">
        <f t="array" ref="CM7">_xlfn.IFS(CK7&lt;CK6,CM6+1,CK7=CK6,CM6)</f>
        <v>6</v>
      </c>
      <c r="CN7" s="17" cm="1">
        <f t="array" ref="CN7">_xlfn.IFS(CL7&lt;CL6,CN6+1,CL7=CL6,CN6)</f>
        <v>6</v>
      </c>
      <c r="CO7" s="15">
        <v>0.11283550822287294</v>
      </c>
      <c r="CP7" s="15">
        <v>0.20537809445419358</v>
      </c>
      <c r="CQ7" s="1" t="s">
        <v>206</v>
      </c>
      <c r="CR7" s="1">
        <v>42</v>
      </c>
      <c r="CS7" s="29">
        <v>61</v>
      </c>
    </row>
    <row r="8" spans="1:97" x14ac:dyDescent="0.25">
      <c r="A8" s="1" t="s">
        <v>94</v>
      </c>
      <c r="B8" s="1" t="s">
        <v>95</v>
      </c>
      <c r="C8" s="1" t="s">
        <v>94</v>
      </c>
      <c r="D8" s="1" t="s">
        <v>226</v>
      </c>
      <c r="E8" s="1" t="s">
        <v>226</v>
      </c>
      <c r="F8" s="1" t="s">
        <v>227</v>
      </c>
      <c r="H8" s="1" t="s">
        <v>230</v>
      </c>
      <c r="I8" s="1">
        <v>987654</v>
      </c>
      <c r="J8" s="1" t="s">
        <v>96</v>
      </c>
      <c r="K8" s="1" t="s">
        <v>127</v>
      </c>
      <c r="L8" s="1" t="s">
        <v>98</v>
      </c>
      <c r="M8" s="1" t="s">
        <v>139</v>
      </c>
      <c r="N8" s="8">
        <v>0</v>
      </c>
      <c r="O8" s="9" t="e">
        <v>#NULL!</v>
      </c>
      <c r="X8" s="1" t="s">
        <v>23</v>
      </c>
      <c r="Y8" s="1" t="s">
        <v>123</v>
      </c>
      <c r="Z8" s="1" t="s">
        <v>103</v>
      </c>
      <c r="AA8" s="1" t="s">
        <v>98</v>
      </c>
      <c r="AB8" s="8">
        <v>22</v>
      </c>
      <c r="AC8" s="8">
        <v>4</v>
      </c>
      <c r="AD8" s="8">
        <v>9</v>
      </c>
      <c r="AE8" s="8">
        <v>3</v>
      </c>
      <c r="AF8" s="8">
        <v>19</v>
      </c>
      <c r="AG8" s="8">
        <v>6</v>
      </c>
      <c r="AH8" s="8">
        <v>23</v>
      </c>
      <c r="AI8" s="8">
        <v>7</v>
      </c>
      <c r="AJ8" s="8">
        <v>20</v>
      </c>
      <c r="AK8" s="8">
        <v>6</v>
      </c>
      <c r="AL8" s="8">
        <v>29</v>
      </c>
      <c r="AM8" s="8">
        <v>8</v>
      </c>
      <c r="AN8" s="8">
        <v>19</v>
      </c>
      <c r="AO8" s="8">
        <v>5</v>
      </c>
      <c r="AP8" s="8">
        <v>20</v>
      </c>
      <c r="AQ8" s="8">
        <v>5</v>
      </c>
      <c r="AR8" s="1" t="s">
        <v>102</v>
      </c>
      <c r="AS8" s="1" t="s">
        <v>103</v>
      </c>
      <c r="AT8" s="1" t="s">
        <v>139</v>
      </c>
      <c r="AU8" s="1" t="s">
        <v>98</v>
      </c>
      <c r="AV8" s="1" t="s">
        <v>241</v>
      </c>
      <c r="AW8" s="8">
        <v>292</v>
      </c>
      <c r="AX8" s="27" t="s">
        <v>105</v>
      </c>
      <c r="AY8" s="27" t="s">
        <v>105</v>
      </c>
      <c r="BA8" s="8">
        <v>2</v>
      </c>
      <c r="BB8" s="8">
        <v>2</v>
      </c>
      <c r="BC8" s="1" t="s">
        <v>106</v>
      </c>
      <c r="BD8" s="1" t="s">
        <v>107</v>
      </c>
      <c r="BE8" s="1" t="s">
        <v>123</v>
      </c>
      <c r="BF8" s="1" t="s">
        <v>98</v>
      </c>
      <c r="BG8" s="1" t="s">
        <v>108</v>
      </c>
      <c r="BH8" s="8">
        <v>53</v>
      </c>
      <c r="BI8" s="8">
        <v>8</v>
      </c>
      <c r="BJ8" s="1" t="s">
        <v>109</v>
      </c>
      <c r="BK8" s="1" t="s">
        <v>118</v>
      </c>
      <c r="BL8" s="1" t="s">
        <v>107</v>
      </c>
      <c r="BM8" s="1" t="s">
        <v>98</v>
      </c>
      <c r="BN8" s="1" t="s">
        <v>112</v>
      </c>
      <c r="BO8" s="8">
        <v>6</v>
      </c>
      <c r="BP8" s="8">
        <v>9</v>
      </c>
      <c r="BQ8" s="8">
        <v>15</v>
      </c>
      <c r="BR8" s="8">
        <v>6</v>
      </c>
      <c r="BS8" s="8">
        <v>3</v>
      </c>
      <c r="BT8" s="12">
        <v>0.83711069932589732</v>
      </c>
      <c r="BU8" s="12">
        <v>-0.56787247202461244</v>
      </c>
      <c r="BV8" s="12">
        <v>-0.99689234189698039</v>
      </c>
      <c r="BW8" s="12">
        <v>-2.169748742473163E-2</v>
      </c>
      <c r="BX8" s="12">
        <v>-0.29802821416291353</v>
      </c>
      <c r="BY8" s="12">
        <v>7.2262109033242386E-2</v>
      </c>
      <c r="BZ8" s="12">
        <v>-0.2523592823760743</v>
      </c>
      <c r="CA8" s="12">
        <v>0.31025062670306608</v>
      </c>
      <c r="CB8" s="12">
        <v>-0.31025062670306608</v>
      </c>
      <c r="CC8" s="12">
        <v>-0.56573612349795133</v>
      </c>
      <c r="CD8" s="12">
        <v>0.30270996611572665</v>
      </c>
      <c r="CE8" s="10">
        <v>-0.49870344959873031</v>
      </c>
      <c r="CF8" s="10">
        <v>0.13461911365064244</v>
      </c>
      <c r="CG8" s="10">
        <v>-0.50929491466085597</v>
      </c>
      <c r="CH8" s="10">
        <v>1.1155450804432181</v>
      </c>
      <c r="CI8" s="10">
        <v>-0.19709400355220288</v>
      </c>
      <c r="CJ8" s="10">
        <v>-0.13151307869111234</v>
      </c>
      <c r="CK8" s="11">
        <v>-0.01</v>
      </c>
      <c r="CL8" s="10">
        <v>-0.02</v>
      </c>
      <c r="CM8" s="17" cm="1">
        <f t="array" ref="CM8">_xlfn.IFS(CK8&lt;CK7,CM7+1,CK8=CK7,CM7)</f>
        <v>7</v>
      </c>
      <c r="CN8" s="17" cm="1">
        <f t="array" ref="CN8">_xlfn.IFS(CL8&lt;CL7,CN7+1,CL8=CL7,CN7)</f>
        <v>7</v>
      </c>
      <c r="CO8" s="15">
        <v>-8.4458358394208406E-3</v>
      </c>
      <c r="CP8" s="15">
        <v>-1.537272883414556E-2</v>
      </c>
      <c r="CQ8" s="1" t="s">
        <v>206</v>
      </c>
      <c r="CR8" s="1">
        <v>100</v>
      </c>
      <c r="CS8" s="29">
        <v>71</v>
      </c>
    </row>
  </sheetData>
  <autoFilter ref="A1:CR8" xr:uid="{00000000-0001-0000-0000-000000000000}"/>
  <sortState xmlns:xlrd2="http://schemas.microsoft.com/office/spreadsheetml/2017/richdata2" ref="A2:CR8">
    <sortCondition descending="1" ref="CP2:CP8"/>
    <sortCondition ref="CR2:CR8"/>
  </sortState>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DE8E0-BD40-4DE0-9867-84B755D9DC10}">
  <dimension ref="A1:D26"/>
  <sheetViews>
    <sheetView workbookViewId="0">
      <selection activeCell="D26" sqref="D26"/>
    </sheetView>
  </sheetViews>
  <sheetFormatPr defaultColWidth="9.140625" defaultRowHeight="15" x14ac:dyDescent="0.25"/>
  <cols>
    <col min="1" max="2" width="43.85546875" style="2" customWidth="1"/>
    <col min="3" max="3" width="95" style="2" customWidth="1"/>
    <col min="4" max="4" width="16.42578125" style="2" customWidth="1"/>
    <col min="5" max="16384" width="9.140625" style="2"/>
  </cols>
  <sheetData>
    <row r="1" spans="1:4" x14ac:dyDescent="0.25">
      <c r="A1" s="13" t="s">
        <v>149</v>
      </c>
      <c r="B1" s="13"/>
      <c r="C1" s="13" t="s">
        <v>150</v>
      </c>
      <c r="D1" s="13" t="s">
        <v>151</v>
      </c>
    </row>
    <row r="2" spans="1:4" x14ac:dyDescent="0.25">
      <c r="A2" s="3"/>
      <c r="B2" s="3"/>
      <c r="C2" s="3"/>
      <c r="D2" s="3"/>
    </row>
    <row r="3" spans="1:4" x14ac:dyDescent="0.25">
      <c r="A3" s="14" t="s">
        <v>71</v>
      </c>
      <c r="B3" s="14"/>
      <c r="C3" s="2" t="s">
        <v>152</v>
      </c>
      <c r="D3" s="2" t="s">
        <v>153</v>
      </c>
    </row>
    <row r="4" spans="1:4" x14ac:dyDescent="0.25">
      <c r="A4" s="14" t="s">
        <v>72</v>
      </c>
      <c r="B4" s="14"/>
      <c r="C4" s="2" t="s">
        <v>154</v>
      </c>
      <c r="D4" s="2" t="s">
        <v>155</v>
      </c>
    </row>
    <row r="5" spans="1:4" x14ac:dyDescent="0.25">
      <c r="A5" s="14" t="s">
        <v>73</v>
      </c>
      <c r="B5" s="14"/>
      <c r="C5" s="2" t="s">
        <v>156</v>
      </c>
      <c r="D5" s="2" t="s">
        <v>157</v>
      </c>
    </row>
    <row r="6" spans="1:4" x14ac:dyDescent="0.25">
      <c r="A6" s="14" t="s">
        <v>74</v>
      </c>
      <c r="B6" s="14"/>
      <c r="C6" s="2" t="s">
        <v>158</v>
      </c>
      <c r="D6" s="2" t="s">
        <v>159</v>
      </c>
    </row>
    <row r="7" spans="1:4" x14ac:dyDescent="0.25">
      <c r="A7" s="14" t="s">
        <v>75</v>
      </c>
      <c r="B7" s="14"/>
      <c r="C7" s="2" t="s">
        <v>160</v>
      </c>
      <c r="D7" s="2" t="s">
        <v>161</v>
      </c>
    </row>
    <row r="8" spans="1:4" x14ac:dyDescent="0.25">
      <c r="A8" s="14" t="s">
        <v>76</v>
      </c>
      <c r="B8" s="14"/>
      <c r="C8" s="2" t="s">
        <v>162</v>
      </c>
      <c r="D8" s="2" t="s">
        <v>163</v>
      </c>
    </row>
    <row r="9" spans="1:4" x14ac:dyDescent="0.25">
      <c r="A9" s="14" t="s">
        <v>164</v>
      </c>
      <c r="B9" s="14"/>
      <c r="C9" s="2" t="s">
        <v>165</v>
      </c>
      <c r="D9" s="2" t="s">
        <v>166</v>
      </c>
    </row>
    <row r="10" spans="1:4" x14ac:dyDescent="0.25">
      <c r="A10" s="14" t="s">
        <v>78</v>
      </c>
      <c r="B10" s="14"/>
      <c r="C10" s="2" t="s">
        <v>167</v>
      </c>
      <c r="D10" s="2" t="s">
        <v>168</v>
      </c>
    </row>
    <row r="11" spans="1:4" ht="45" x14ac:dyDescent="0.25">
      <c r="A11" s="14" t="s">
        <v>79</v>
      </c>
      <c r="B11" s="14"/>
      <c r="C11" s="2" t="s">
        <v>169</v>
      </c>
      <c r="D11" s="2" t="s">
        <v>170</v>
      </c>
    </row>
    <row r="12" spans="1:4" x14ac:dyDescent="0.25">
      <c r="A12" s="14" t="s">
        <v>80</v>
      </c>
      <c r="B12" s="14"/>
      <c r="C12" s="2" t="s">
        <v>171</v>
      </c>
      <c r="D12" s="2" t="s">
        <v>172</v>
      </c>
    </row>
    <row r="13" spans="1:4" x14ac:dyDescent="0.25">
      <c r="A13" s="14" t="s">
        <v>81</v>
      </c>
      <c r="B13" s="14"/>
      <c r="C13" s="2" t="s">
        <v>173</v>
      </c>
      <c r="D13" s="2" t="s">
        <v>174</v>
      </c>
    </row>
    <row r="14" spans="1:4" x14ac:dyDescent="0.25">
      <c r="B14" s="2" t="s">
        <v>175</v>
      </c>
    </row>
    <row r="15" spans="1:4" ht="30" x14ac:dyDescent="0.25">
      <c r="A15" s="6" t="s">
        <v>82</v>
      </c>
      <c r="B15" s="6" t="s">
        <v>176</v>
      </c>
      <c r="C15" s="2" t="s">
        <v>177</v>
      </c>
      <c r="D15" s="2" t="s">
        <v>178</v>
      </c>
    </row>
    <row r="16" spans="1:4" x14ac:dyDescent="0.25">
      <c r="A16" s="6" t="s">
        <v>83</v>
      </c>
      <c r="B16" s="6" t="s">
        <v>179</v>
      </c>
      <c r="C16" s="2" t="s">
        <v>180</v>
      </c>
      <c r="D16" s="2" t="s">
        <v>181</v>
      </c>
    </row>
    <row r="17" spans="1:4" ht="30" x14ac:dyDescent="0.25">
      <c r="A17" s="6" t="s">
        <v>84</v>
      </c>
      <c r="B17" s="6" t="s">
        <v>182</v>
      </c>
      <c r="C17" s="2" t="s">
        <v>183</v>
      </c>
      <c r="D17" s="2" t="s">
        <v>184</v>
      </c>
    </row>
    <row r="18" spans="1:4" x14ac:dyDescent="0.25">
      <c r="A18" s="6" t="s">
        <v>85</v>
      </c>
      <c r="B18" s="6" t="s">
        <v>185</v>
      </c>
      <c r="C18" s="2" t="s">
        <v>186</v>
      </c>
      <c r="D18" s="2" t="s">
        <v>187</v>
      </c>
    </row>
    <row r="19" spans="1:4" ht="30" x14ac:dyDescent="0.25">
      <c r="A19" s="6" t="s">
        <v>86</v>
      </c>
      <c r="B19" s="6" t="s">
        <v>188</v>
      </c>
      <c r="C19" s="2" t="s">
        <v>189</v>
      </c>
      <c r="D19" s="2" t="s">
        <v>190</v>
      </c>
    </row>
    <row r="20" spans="1:4" x14ac:dyDescent="0.25">
      <c r="A20" s="6" t="s">
        <v>87</v>
      </c>
      <c r="B20" s="6" t="s">
        <v>191</v>
      </c>
      <c r="C20" s="2" t="s">
        <v>192</v>
      </c>
      <c r="D20" s="2" t="s">
        <v>193</v>
      </c>
    </row>
    <row r="21" spans="1:4" x14ac:dyDescent="0.25">
      <c r="A21" s="5"/>
      <c r="B21" s="5"/>
    </row>
    <row r="22" spans="1:4" ht="30" x14ac:dyDescent="0.25">
      <c r="A22" s="7" t="s">
        <v>88</v>
      </c>
      <c r="B22" s="7" t="s">
        <v>194</v>
      </c>
      <c r="C22" s="2" t="s">
        <v>195</v>
      </c>
      <c r="D22" s="2" t="s">
        <v>196</v>
      </c>
    </row>
    <row r="23" spans="1:4" ht="30" x14ac:dyDescent="0.25">
      <c r="A23" s="6" t="s">
        <v>89</v>
      </c>
      <c r="B23" s="6" t="s">
        <v>194</v>
      </c>
      <c r="C23" s="2" t="s">
        <v>197</v>
      </c>
      <c r="D23" s="2" t="s">
        <v>198</v>
      </c>
    </row>
    <row r="24" spans="1:4" ht="45" x14ac:dyDescent="0.25">
      <c r="A24" s="18" t="s">
        <v>199</v>
      </c>
      <c r="B24" s="18"/>
      <c r="C24" s="3" t="s">
        <v>200</v>
      </c>
      <c r="D24" s="2" t="s">
        <v>201</v>
      </c>
    </row>
    <row r="25" spans="1:4" x14ac:dyDescent="0.25">
      <c r="A25" s="4" t="s">
        <v>92</v>
      </c>
      <c r="D25" s="2" t="s">
        <v>202</v>
      </c>
    </row>
    <row r="26" spans="1:4" x14ac:dyDescent="0.25">
      <c r="A26" s="4" t="s">
        <v>93</v>
      </c>
      <c r="D26" s="2" t="s">
        <v>203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D76ECDE56173B458167BF588A79FCED" ma:contentTypeVersion="6" ma:contentTypeDescription="Een nieuw document maken." ma:contentTypeScope="" ma:versionID="18833ff10bec7f925ec53a585b40df9e">
  <xsd:schema xmlns:xsd="http://www.w3.org/2001/XMLSchema" xmlns:xs="http://www.w3.org/2001/XMLSchema" xmlns:p="http://schemas.microsoft.com/office/2006/metadata/properties" xmlns:ns2="6aa10112-d4b2-44e5-b9e4-91fad2f5ae73" xmlns:ns3="f8d65dc4-830c-4d93-967b-ed8e6de42f3f" targetNamespace="http://schemas.microsoft.com/office/2006/metadata/properties" ma:root="true" ma:fieldsID="454a31ad3508d53aa3bce6a3e2e2aabb" ns2:_="" ns3:_="">
    <xsd:import namespace="6aa10112-d4b2-44e5-b9e4-91fad2f5ae73"/>
    <xsd:import namespace="f8d65dc4-830c-4d93-967b-ed8e6de42f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a10112-d4b2-44e5-b9e4-91fad2f5ae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d65dc4-830c-4d93-967b-ed8e6de42f3f"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B2915A-3EFB-4415-A0B9-78BB8639760A}">
  <ds:schemaRefs>
    <ds:schemaRef ds:uri="http://schemas.microsoft.com/sharepoint/v3/contenttype/forms"/>
  </ds:schemaRefs>
</ds:datastoreItem>
</file>

<file path=customXml/itemProps2.xml><?xml version="1.0" encoding="utf-8"?>
<ds:datastoreItem xmlns:ds="http://schemas.openxmlformats.org/officeDocument/2006/customXml" ds:itemID="{A92E1B06-C972-4BE5-9378-ABD883022673}">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DE03AD6-F419-487C-AF81-1F9A54405F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a10112-d4b2-44e5-b9e4-91fad2f5ae73"/>
    <ds:schemaRef ds:uri="f8d65dc4-830c-4d93-967b-ed8e6de42f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2026 LUMC Farmacie</vt:lpstr>
      <vt:lpstr>toegevoegde variabelen (uitleg)</vt:lpstr>
    </vt:vector>
  </TitlesOfParts>
  <Manager/>
  <Company>IBM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IBM SPSS Export Facility</dc:creator>
  <cp:keywords/>
  <dc:description/>
  <cp:lastModifiedBy>Havelaar, Judith (DOO - LUMC)</cp:lastModifiedBy>
  <cp:revision/>
  <dcterms:created xsi:type="dcterms:W3CDTF">2011-08-01T14:22:18Z</dcterms:created>
  <dcterms:modified xsi:type="dcterms:W3CDTF">2026-05-12T08:15:01Z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0x010100CD76ECDE56173B458167BF588A79FCED</vt:lpwstr>
  </property>
  <property fmtid="{D5CDD505-2E9C-101B-9397-08002B2CF9AE}" pid="3" name="MediaServiceImageTags">
    <vt:lpwstr/>
  </property>
  <property fmtid="{D5CDD505-2E9C-101B-9397-08002B2CF9AE}" pid="4" name="MSIP_Label_6ecd48a5-a699-4c93-9b63-0dff0e8d31d4_Enabled">
    <vt:lpwstr>true</vt:lpwstr>
  </property>
  <property fmtid="{D5CDD505-2E9C-101B-9397-08002B2CF9AE}" pid="5" name="MSIP_Label_6ecd48a5-a699-4c93-9b63-0dff0e8d31d4_SetDate">
    <vt:lpwstr>2026-05-06T10:33:49Z</vt:lpwstr>
  </property>
  <property fmtid="{D5CDD505-2E9C-101B-9397-08002B2CF9AE}" pid="6" name="MSIP_Label_6ecd48a5-a699-4c93-9b63-0dff0e8d31d4_Method">
    <vt:lpwstr>Privileged</vt:lpwstr>
  </property>
  <property fmtid="{D5CDD505-2E9C-101B-9397-08002B2CF9AE}" pid="7" name="MSIP_Label_6ecd48a5-a699-4c93-9b63-0dff0e8d31d4_Name">
    <vt:lpwstr>Vertrouwelijk</vt:lpwstr>
  </property>
  <property fmtid="{D5CDD505-2E9C-101B-9397-08002B2CF9AE}" pid="8" name="MSIP_Label_6ecd48a5-a699-4c93-9b63-0dff0e8d31d4_SiteId">
    <vt:lpwstr>8f98ff92-33e7-4c68-9e80-53da0e4ff603</vt:lpwstr>
  </property>
  <property fmtid="{D5CDD505-2E9C-101B-9397-08002B2CF9AE}" pid="9" name="MSIP_Label_6ecd48a5-a699-4c93-9b63-0dff0e8d31d4_ActionId">
    <vt:lpwstr>91988e2d-9bd7-47ec-a2c8-6c3d240ae2e6</vt:lpwstr>
  </property>
  <property fmtid="{D5CDD505-2E9C-101B-9397-08002B2CF9AE}" pid="10" name="MSIP_Label_6ecd48a5-a699-4c93-9b63-0dff0e8d31d4_ContentBits">
    <vt:lpwstr>0</vt:lpwstr>
  </property>
  <property fmtid="{D5CDD505-2E9C-101B-9397-08002B2CF9AE}" pid="11" name="MSIP_Label_6ecd48a5-a699-4c93-9b63-0dff0e8d31d4_Tag">
    <vt:lpwstr>10, 0, 1, 1</vt:lpwstr>
  </property>
</Properties>
</file>